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bret\USAG Test Results Pipeline\data\raw\"/>
    </mc:Choice>
  </mc:AlternateContent>
  <xr:revisionPtr revIDLastSave="0" documentId="8_{323B328F-94DE-41F2-9FBC-12CA0D5C15A1}" xr6:coauthVersionLast="47" xr6:coauthVersionMax="47" xr10:uidLastSave="{00000000-0000-0000-0000-000000000000}"/>
  <bookViews>
    <workbookView xWindow="-108" yWindow="-108" windowWidth="30936" windowHeight="16776" firstSheet="1" activeTab="6" xr2:uid="{00000000-000D-0000-FFFF-FFFF00000000}"/>
  </bookViews>
  <sheets>
    <sheet name="Master Sheet" sheetId="1" r:id="rId1"/>
    <sheet name="Senior TRA" sheetId="2" r:id="rId2"/>
    <sheet name="Senior DMT" sheetId="3" r:id="rId3"/>
    <sheet name="Senior TUM" sheetId="4" r:id="rId4"/>
    <sheet name="Junior TRA" sheetId="5" r:id="rId5"/>
    <sheet name="Junior DMT" sheetId="6" r:id="rId6"/>
    <sheet name="Junior TUM" sheetId="7" r:id="rId7"/>
  </sheets>
  <definedNames>
    <definedName name="_xlnm._FilterDatabase" localSheetId="0" hidden="1">'Master Sheet'!$A$4:$C$76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2" i="7" l="1"/>
  <c r="K92" i="7"/>
  <c r="J92" i="7"/>
  <c r="I92" i="7"/>
  <c r="H92" i="7"/>
  <c r="G92" i="7"/>
  <c r="F92" i="7"/>
  <c r="D92" i="7"/>
  <c r="C92" i="7"/>
  <c r="L91" i="7"/>
  <c r="K91" i="7"/>
  <c r="J91" i="7"/>
  <c r="I91" i="7"/>
  <c r="H91" i="7"/>
  <c r="G91" i="7"/>
  <c r="F91" i="7"/>
  <c r="D91" i="7"/>
  <c r="C91" i="7"/>
  <c r="L90" i="7"/>
  <c r="K90" i="7"/>
  <c r="J90" i="7"/>
  <c r="I90" i="7"/>
  <c r="H90" i="7"/>
  <c r="G90" i="7"/>
  <c r="F90" i="7"/>
  <c r="E90" i="7"/>
  <c r="D90" i="7"/>
  <c r="C90" i="7"/>
  <c r="B90" i="7"/>
  <c r="L89" i="7"/>
  <c r="K89" i="7"/>
  <c r="J89" i="7"/>
  <c r="I89" i="7"/>
  <c r="H89" i="7"/>
  <c r="G89" i="7"/>
  <c r="F89" i="7"/>
  <c r="D89" i="7"/>
  <c r="C89" i="7"/>
  <c r="D64" i="7"/>
  <c r="B64" i="7"/>
  <c r="L63" i="7"/>
  <c r="L64" i="7" s="1"/>
  <c r="K63" i="7"/>
  <c r="K64" i="7" s="1"/>
  <c r="J63" i="7"/>
  <c r="J64" i="7" s="1"/>
  <c r="I63" i="7"/>
  <c r="I64" i="7" s="1"/>
  <c r="H63" i="7"/>
  <c r="G63" i="7"/>
  <c r="G64" i="7" s="1"/>
  <c r="F63" i="7"/>
  <c r="F64" i="7" s="1"/>
  <c r="D63" i="7"/>
  <c r="C63" i="7"/>
  <c r="B63" i="7"/>
  <c r="L44" i="7"/>
  <c r="K44" i="7"/>
  <c r="J44" i="7"/>
  <c r="I44" i="7"/>
  <c r="H44" i="7"/>
  <c r="G44" i="7"/>
  <c r="F44" i="7"/>
  <c r="E44" i="7"/>
  <c r="D44" i="7"/>
  <c r="C44" i="7"/>
  <c r="B44" i="7"/>
  <c r="L43" i="7"/>
  <c r="K43" i="7"/>
  <c r="J43" i="7"/>
  <c r="I43" i="7"/>
  <c r="H43" i="7"/>
  <c r="G43" i="7"/>
  <c r="F43" i="7"/>
  <c r="E43" i="7"/>
  <c r="D43" i="7"/>
  <c r="C43" i="7"/>
  <c r="B43" i="7"/>
  <c r="L24" i="7"/>
  <c r="J24" i="7"/>
  <c r="I24" i="7"/>
  <c r="G24" i="7"/>
  <c r="F24" i="7"/>
  <c r="D24" i="7"/>
  <c r="C24" i="7"/>
  <c r="B24" i="7"/>
  <c r="L23" i="7"/>
  <c r="K23" i="7"/>
  <c r="J23" i="7"/>
  <c r="I23" i="7"/>
  <c r="H23" i="7"/>
  <c r="G23" i="7"/>
  <c r="F23" i="7"/>
  <c r="D23" i="7"/>
  <c r="C23" i="7"/>
  <c r="B23" i="7"/>
  <c r="I94" i="6"/>
  <c r="H94" i="6"/>
  <c r="G94" i="6"/>
  <c r="F94" i="6"/>
  <c r="E94" i="6"/>
  <c r="D94" i="6"/>
  <c r="C94" i="6"/>
  <c r="B94" i="6"/>
  <c r="I93" i="6"/>
  <c r="H93" i="6"/>
  <c r="G93" i="6"/>
  <c r="F93" i="6"/>
  <c r="E93" i="6"/>
  <c r="D93" i="6"/>
  <c r="C93" i="6"/>
  <c r="B93" i="6"/>
  <c r="I92" i="6"/>
  <c r="H92" i="6"/>
  <c r="G92" i="6"/>
  <c r="F92" i="6"/>
  <c r="E92" i="6"/>
  <c r="D92" i="6"/>
  <c r="C92" i="6"/>
  <c r="B92" i="6"/>
  <c r="I91" i="6"/>
  <c r="H91" i="6"/>
  <c r="G91" i="6"/>
  <c r="F91" i="6"/>
  <c r="E91" i="6"/>
  <c r="D91" i="6"/>
  <c r="C91" i="6"/>
  <c r="B91" i="6"/>
  <c r="E66" i="6"/>
  <c r="D66" i="6"/>
  <c r="B66" i="6"/>
  <c r="I65" i="6"/>
  <c r="H65" i="6"/>
  <c r="H66" i="6" s="1"/>
  <c r="F65" i="6"/>
  <c r="F66" i="6" s="1"/>
  <c r="E65" i="6"/>
  <c r="D65" i="6"/>
  <c r="B65" i="6"/>
  <c r="I58" i="6"/>
  <c r="H58" i="6"/>
  <c r="G58" i="6"/>
  <c r="F58" i="6"/>
  <c r="E58" i="6"/>
  <c r="D58" i="6"/>
  <c r="C58" i="6"/>
  <c r="B58" i="6"/>
  <c r="I52" i="6"/>
  <c r="H52" i="6"/>
  <c r="G52" i="6"/>
  <c r="F52" i="6"/>
  <c r="E52" i="6"/>
  <c r="D52" i="6"/>
  <c r="C52" i="6"/>
  <c r="B52" i="6"/>
  <c r="H44" i="6"/>
  <c r="G44" i="6"/>
  <c r="F44" i="6"/>
  <c r="E44" i="6"/>
  <c r="D44" i="6"/>
  <c r="B44" i="6"/>
  <c r="H43" i="6"/>
  <c r="G43" i="6"/>
  <c r="F43" i="6"/>
  <c r="E43" i="6"/>
  <c r="D43" i="6"/>
  <c r="B43" i="6"/>
  <c r="I24" i="6"/>
  <c r="H24" i="6"/>
  <c r="G24" i="6"/>
  <c r="F24" i="6"/>
  <c r="E24" i="6"/>
  <c r="D24" i="6"/>
  <c r="C24" i="6"/>
  <c r="B24" i="6"/>
  <c r="I23" i="6"/>
  <c r="H23" i="6"/>
  <c r="G23" i="6"/>
  <c r="F23" i="6"/>
  <c r="E23" i="6"/>
  <c r="D23" i="6"/>
  <c r="C23" i="6"/>
  <c r="B23" i="6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P63" i="5"/>
  <c r="D63" i="5"/>
  <c r="C63" i="5"/>
  <c r="B63" i="5"/>
  <c r="P62" i="5"/>
  <c r="O62" i="5"/>
  <c r="O63" i="5" s="1"/>
  <c r="N62" i="5"/>
  <c r="N63" i="5" s="1"/>
  <c r="L62" i="5"/>
  <c r="L63" i="5" s="1"/>
  <c r="K62" i="5"/>
  <c r="K63" i="5" s="1"/>
  <c r="J62" i="5"/>
  <c r="J63" i="5" s="1"/>
  <c r="I62" i="5"/>
  <c r="I63" i="5" s="1"/>
  <c r="H62" i="5"/>
  <c r="H63" i="5" s="1"/>
  <c r="G62" i="5"/>
  <c r="G63" i="5" s="1"/>
  <c r="F62" i="5"/>
  <c r="F63" i="5" s="1"/>
  <c r="E62" i="5"/>
  <c r="D62" i="5"/>
  <c r="C62" i="5"/>
  <c r="B62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M92" i="4"/>
  <c r="L92" i="4"/>
  <c r="K92" i="4"/>
  <c r="J92" i="4"/>
  <c r="I92" i="4"/>
  <c r="H92" i="4"/>
  <c r="G92" i="4"/>
  <c r="F92" i="4"/>
  <c r="E92" i="4"/>
  <c r="D92" i="4"/>
  <c r="C92" i="4"/>
  <c r="B92" i="4"/>
  <c r="M91" i="4"/>
  <c r="L91" i="4"/>
  <c r="K91" i="4"/>
  <c r="J91" i="4"/>
  <c r="I91" i="4"/>
  <c r="H91" i="4"/>
  <c r="G91" i="4"/>
  <c r="F91" i="4"/>
  <c r="E91" i="4"/>
  <c r="D91" i="4"/>
  <c r="C91" i="4"/>
  <c r="B91" i="4"/>
  <c r="M90" i="4"/>
  <c r="L90" i="4"/>
  <c r="K90" i="4"/>
  <c r="J90" i="4"/>
  <c r="I90" i="4"/>
  <c r="H90" i="4"/>
  <c r="G90" i="4"/>
  <c r="F90" i="4"/>
  <c r="E90" i="4"/>
  <c r="D90" i="4"/>
  <c r="C90" i="4"/>
  <c r="B90" i="4"/>
  <c r="M89" i="4"/>
  <c r="L89" i="4"/>
  <c r="K89" i="4"/>
  <c r="J89" i="4"/>
  <c r="I89" i="4"/>
  <c r="H89" i="4"/>
  <c r="G89" i="4"/>
  <c r="F89" i="4"/>
  <c r="E89" i="4"/>
  <c r="D89" i="4"/>
  <c r="C89" i="4"/>
  <c r="B89" i="4"/>
  <c r="I64" i="4"/>
  <c r="H64" i="4"/>
  <c r="G64" i="4"/>
  <c r="F64" i="4"/>
  <c r="E64" i="4"/>
  <c r="D64" i="4"/>
  <c r="C64" i="4"/>
  <c r="M63" i="4"/>
  <c r="M64" i="4" s="1"/>
  <c r="L63" i="4"/>
  <c r="L64" i="4" s="1"/>
  <c r="K63" i="4"/>
  <c r="K64" i="4" s="1"/>
  <c r="J63" i="4"/>
  <c r="J64" i="4" s="1"/>
  <c r="I63" i="4"/>
  <c r="H63" i="4"/>
  <c r="G63" i="4"/>
  <c r="F63" i="4"/>
  <c r="E63" i="4"/>
  <c r="D63" i="4"/>
  <c r="C63" i="4"/>
  <c r="B63" i="4"/>
  <c r="M44" i="4"/>
  <c r="L44" i="4"/>
  <c r="K44" i="4"/>
  <c r="J44" i="4"/>
  <c r="I44" i="4"/>
  <c r="H44" i="4"/>
  <c r="G44" i="4"/>
  <c r="F44" i="4"/>
  <c r="E44" i="4"/>
  <c r="D44" i="4"/>
  <c r="C44" i="4"/>
  <c r="B44" i="4"/>
  <c r="M43" i="4"/>
  <c r="L43" i="4"/>
  <c r="K43" i="4"/>
  <c r="J43" i="4"/>
  <c r="I43" i="4"/>
  <c r="H43" i="4"/>
  <c r="G43" i="4"/>
  <c r="F43" i="4"/>
  <c r="E43" i="4"/>
  <c r="D43" i="4"/>
  <c r="C43" i="4"/>
  <c r="B43" i="4"/>
  <c r="M24" i="4"/>
  <c r="L24" i="4"/>
  <c r="K24" i="4"/>
  <c r="J24" i="4"/>
  <c r="I24" i="4"/>
  <c r="H24" i="4"/>
  <c r="G24" i="4"/>
  <c r="F24" i="4"/>
  <c r="E24" i="4"/>
  <c r="D24" i="4"/>
  <c r="B24" i="4"/>
  <c r="M23" i="4"/>
  <c r="L23" i="4"/>
  <c r="K23" i="4"/>
  <c r="J23" i="4"/>
  <c r="I23" i="4"/>
  <c r="H23" i="4"/>
  <c r="G23" i="4"/>
  <c r="F23" i="4"/>
  <c r="E23" i="4"/>
  <c r="D23" i="4"/>
  <c r="B23" i="4"/>
  <c r="J90" i="3"/>
  <c r="I90" i="3"/>
  <c r="H90" i="3"/>
  <c r="G90" i="3"/>
  <c r="F90" i="3"/>
  <c r="E90" i="3"/>
  <c r="D90" i="3"/>
  <c r="C90" i="3"/>
  <c r="B90" i="3"/>
  <c r="J89" i="3"/>
  <c r="I89" i="3"/>
  <c r="H89" i="3"/>
  <c r="G89" i="3"/>
  <c r="F89" i="3"/>
  <c r="E89" i="3"/>
  <c r="D89" i="3"/>
  <c r="C89" i="3"/>
  <c r="B89" i="3"/>
  <c r="J88" i="3"/>
  <c r="I88" i="3"/>
  <c r="H88" i="3"/>
  <c r="G88" i="3"/>
  <c r="F88" i="3"/>
  <c r="E88" i="3"/>
  <c r="D88" i="3"/>
  <c r="C88" i="3"/>
  <c r="B88" i="3"/>
  <c r="J87" i="3"/>
  <c r="I87" i="3"/>
  <c r="H87" i="3"/>
  <c r="G87" i="3"/>
  <c r="F87" i="3"/>
  <c r="E87" i="3"/>
  <c r="D87" i="3"/>
  <c r="C87" i="3"/>
  <c r="B87" i="3"/>
  <c r="G62" i="3"/>
  <c r="F62" i="3"/>
  <c r="E62" i="3"/>
  <c r="D62" i="3"/>
  <c r="C62" i="3"/>
  <c r="B62" i="3"/>
  <c r="I61" i="3"/>
  <c r="H61" i="3"/>
  <c r="G61" i="3"/>
  <c r="F61" i="3"/>
  <c r="E61" i="3"/>
  <c r="D61" i="3"/>
  <c r="C61" i="3"/>
  <c r="B61" i="3"/>
  <c r="E54" i="3"/>
  <c r="D54" i="3"/>
  <c r="B54" i="3"/>
  <c r="G48" i="3"/>
  <c r="F48" i="3"/>
  <c r="E48" i="3"/>
  <c r="D48" i="3"/>
  <c r="B48" i="3"/>
  <c r="J40" i="3"/>
  <c r="I40" i="3"/>
  <c r="H40" i="3"/>
  <c r="G40" i="3"/>
  <c r="F40" i="3"/>
  <c r="E40" i="3"/>
  <c r="D40" i="3"/>
  <c r="C40" i="3"/>
  <c r="B40" i="3"/>
  <c r="J39" i="3"/>
  <c r="I39" i="3"/>
  <c r="H39" i="3"/>
  <c r="G39" i="3"/>
  <c r="F39" i="3"/>
  <c r="E39" i="3"/>
  <c r="D39" i="3"/>
  <c r="C39" i="3"/>
  <c r="B39" i="3"/>
  <c r="J24" i="3"/>
  <c r="I24" i="3"/>
  <c r="H24" i="3"/>
  <c r="G24" i="3"/>
  <c r="F24" i="3"/>
  <c r="E24" i="3"/>
  <c r="D24" i="3"/>
  <c r="C24" i="3"/>
  <c r="B24" i="3"/>
  <c r="J23" i="3"/>
  <c r="I23" i="3"/>
  <c r="H23" i="3"/>
  <c r="G23" i="3"/>
  <c r="F23" i="3"/>
  <c r="E23" i="3"/>
  <c r="D23" i="3"/>
  <c r="C23" i="3"/>
  <c r="B23" i="3"/>
  <c r="R92" i="2"/>
  <c r="P92" i="2"/>
  <c r="I92" i="2"/>
  <c r="H92" i="2"/>
  <c r="F92" i="2"/>
  <c r="C92" i="2"/>
  <c r="R91" i="2"/>
  <c r="P91" i="2"/>
  <c r="I91" i="2"/>
  <c r="H91" i="2"/>
  <c r="F91" i="2"/>
  <c r="C91" i="2"/>
  <c r="R90" i="2"/>
  <c r="P90" i="2"/>
  <c r="I90" i="2"/>
  <c r="H90" i="2"/>
  <c r="F90" i="2"/>
  <c r="C90" i="2"/>
  <c r="R89" i="2"/>
  <c r="P89" i="2"/>
  <c r="I89" i="2"/>
  <c r="H89" i="2"/>
  <c r="F89" i="2"/>
  <c r="C89" i="2"/>
  <c r="R64" i="2"/>
  <c r="R65" i="2" s="1"/>
  <c r="Q64" i="2"/>
  <c r="Q65" i="2" s="1"/>
  <c r="P64" i="2"/>
  <c r="O64" i="2"/>
  <c r="O65" i="2" s="1"/>
  <c r="N64" i="2"/>
  <c r="M64" i="2"/>
  <c r="L64" i="2"/>
  <c r="K64" i="2"/>
  <c r="K65" i="2" s="1"/>
  <c r="J64" i="2"/>
  <c r="J65" i="2" s="1"/>
  <c r="I64" i="2"/>
  <c r="H64" i="2"/>
  <c r="H65" i="2" s="1"/>
  <c r="G64" i="2"/>
  <c r="G65" i="2" s="1"/>
  <c r="F64" i="2"/>
  <c r="E64" i="2"/>
  <c r="E65" i="2" s="1"/>
  <c r="D64" i="2"/>
  <c r="D65" i="2" s="1"/>
  <c r="C64" i="2"/>
  <c r="C65" i="2" s="1"/>
  <c r="B64" i="2"/>
  <c r="B65" i="2" s="1"/>
  <c r="F56" i="2"/>
  <c r="F49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R24" i="2"/>
  <c r="P24" i="2"/>
  <c r="I24" i="2"/>
  <c r="H24" i="2"/>
  <c r="F24" i="2"/>
  <c r="C24" i="2"/>
  <c r="R23" i="2"/>
  <c r="P23" i="2"/>
  <c r="I23" i="2"/>
  <c r="H23" i="2"/>
  <c r="F23" i="2"/>
  <c r="C23" i="2"/>
</calcChain>
</file>

<file path=xl/sharedStrings.xml><?xml version="1.0" encoding="utf-8"?>
<sst xmlns="http://schemas.openxmlformats.org/spreadsheetml/2006/main" count="2534" uniqueCount="264">
  <si>
    <t xml:space="preserve">MARCH NT TESTING </t>
  </si>
  <si>
    <t>Team</t>
  </si>
  <si>
    <t>Event</t>
  </si>
  <si>
    <t>Name</t>
  </si>
  <si>
    <t>JR</t>
  </si>
  <si>
    <t>ALL</t>
  </si>
  <si>
    <t>Micah Miner</t>
  </si>
  <si>
    <t>DMT</t>
  </si>
  <si>
    <t>Asher Little</t>
  </si>
  <si>
    <t>Isabella Bowman</t>
  </si>
  <si>
    <t>Isabella Pansano</t>
  </si>
  <si>
    <t>Lyla Rubino</t>
  </si>
  <si>
    <t>DMT &amp; TRA</t>
  </si>
  <si>
    <t>Rafi Pikofsky-Christiansen</t>
  </si>
  <si>
    <t>TRA</t>
  </si>
  <si>
    <t>Alex Rozenshteyn</t>
  </si>
  <si>
    <t>Alexandra Mytnik</t>
  </si>
  <si>
    <t>Emma Bowman</t>
  </si>
  <si>
    <t>Mick Seyler</t>
  </si>
  <si>
    <t>Sebastian Ramberg</t>
  </si>
  <si>
    <t>Will Cockrill</t>
  </si>
  <si>
    <t>TRA Invite</t>
  </si>
  <si>
    <t xml:space="preserve"> Grace Danley</t>
  </si>
  <si>
    <t xml:space="preserve"> Joseph Borders</t>
  </si>
  <si>
    <t xml:space="preserve"> Ryder Nilson</t>
  </si>
  <si>
    <t>TRA/DMT</t>
  </si>
  <si>
    <t>Ava DeHanes</t>
  </si>
  <si>
    <t>Kai Lawson</t>
  </si>
  <si>
    <t>Kennedi Roberts</t>
  </si>
  <si>
    <t>Leah Edelman</t>
  </si>
  <si>
    <t>Nate Erkert</t>
  </si>
  <si>
    <t>TUM</t>
  </si>
  <si>
    <t>Amelia Gasper</t>
  </si>
  <si>
    <t>Annie Hansen</t>
  </si>
  <si>
    <t>Eli Nilson</t>
  </si>
  <si>
    <t>Emma Cox</t>
  </si>
  <si>
    <t>Luke Todd</t>
  </si>
  <si>
    <t>Olivia Pierce</t>
  </si>
  <si>
    <t>Skye Hawk</t>
  </si>
  <si>
    <t>Xavier Harper</t>
  </si>
  <si>
    <t>trevor harder</t>
  </si>
  <si>
    <t>1R</t>
  </si>
  <si>
    <t>TUM Invite</t>
  </si>
  <si>
    <t xml:space="preserve"> Carter Garn</t>
  </si>
  <si>
    <t>ryder nelson</t>
  </si>
  <si>
    <t xml:space="preserve"> Ty-La Mo</t>
  </si>
  <si>
    <t>rafi christensen</t>
  </si>
  <si>
    <t>TUM/DMT</t>
  </si>
  <si>
    <t>Amare Walker</t>
  </si>
  <si>
    <t>r</t>
  </si>
  <si>
    <t>l</t>
  </si>
  <si>
    <t>f</t>
  </si>
  <si>
    <t>Derek Ruehl</t>
  </si>
  <si>
    <t>alec</t>
  </si>
  <si>
    <t>West Fowler</t>
  </si>
  <si>
    <t>alex</t>
  </si>
  <si>
    <t>SR</t>
  </si>
  <si>
    <t>Aliah Raga</t>
  </si>
  <si>
    <t>Dylan Kline</t>
  </si>
  <si>
    <t>Gracie Harder</t>
  </si>
  <si>
    <t>Jackie Kent</t>
  </si>
  <si>
    <t>tomas minc</t>
  </si>
  <si>
    <t>Samuel Blando</t>
  </si>
  <si>
    <t>kai lawson</t>
  </si>
  <si>
    <t>Simon Smith</t>
  </si>
  <si>
    <t>dylan bealey</t>
  </si>
  <si>
    <t>Tomas Minc</t>
  </si>
  <si>
    <t>DMT Invite</t>
  </si>
  <si>
    <t>Ryan Diez</t>
  </si>
  <si>
    <t>Aliaksei Shostak</t>
  </si>
  <si>
    <t>Ava Hernando</t>
  </si>
  <si>
    <t>Cody Gesuelli</t>
  </si>
  <si>
    <t>Isaac Rowley</t>
  </si>
  <si>
    <t>Jace Williams</t>
  </si>
  <si>
    <t>Jessica Stevens</t>
  </si>
  <si>
    <t>Leah Garafalo</t>
  </si>
  <si>
    <t>Logan McCoy</t>
  </si>
  <si>
    <t>Maia Amano</t>
  </si>
  <si>
    <t>Nicole Ahsinger</t>
  </si>
  <si>
    <t>Paul Bretscher</t>
  </si>
  <si>
    <t>Sarah Webster</t>
  </si>
  <si>
    <t>Trevor Harder</t>
  </si>
  <si>
    <t>Trinity Van Natta</t>
  </si>
  <si>
    <t>Zachary Ramacci</t>
  </si>
  <si>
    <t>Ruben Padilla</t>
  </si>
  <si>
    <t>Ryan Maccagnan</t>
  </si>
  <si>
    <t>Dominic Dumas</t>
  </si>
  <si>
    <t>Dylan Bealey</t>
  </si>
  <si>
    <t>Hope Bravo</t>
  </si>
  <si>
    <t>Jill Papenhause</t>
  </si>
  <si>
    <t>Kaden Brown</t>
  </si>
  <si>
    <t>Kaleb Cave</t>
  </si>
  <si>
    <t>Miah Bruns</t>
  </si>
  <si>
    <t>Nastia Katchalova</t>
  </si>
  <si>
    <t>Tia Taylor</t>
  </si>
  <si>
    <t>ZaQuae Carter</t>
  </si>
  <si>
    <t>TUM &amp; DMT</t>
  </si>
  <si>
    <t>BJ Mensah</t>
  </si>
  <si>
    <t>Alec Pelezo</t>
  </si>
  <si>
    <t>Rosalie Thongphay</t>
  </si>
  <si>
    <t>SR/JR</t>
  </si>
  <si>
    <t>DMT/TRA</t>
  </si>
  <si>
    <t>Sami Breckenridge</t>
  </si>
  <si>
    <t>Weight Bearing Lunge Test</t>
  </si>
  <si>
    <t>Right</t>
  </si>
  <si>
    <t>Alexi Shostak</t>
  </si>
  <si>
    <t>Zach Ramacci</t>
  </si>
  <si>
    <t>Knee extended (°)</t>
  </si>
  <si>
    <t>Restriction (location)</t>
  </si>
  <si>
    <t>Achilles</t>
  </si>
  <si>
    <t>post med ankle</t>
  </si>
  <si>
    <t>calf</t>
  </si>
  <si>
    <t>ant ankle</t>
  </si>
  <si>
    <t>no</t>
  </si>
  <si>
    <t>Pain (n/10)</t>
  </si>
  <si>
    <t>Knee flexed (°)</t>
  </si>
  <si>
    <t>ant lat ankle</t>
  </si>
  <si>
    <t>Achilles, ant ank</t>
  </si>
  <si>
    <t>tape</t>
  </si>
  <si>
    <t>no, 5</t>
  </si>
  <si>
    <t xml:space="preserve"> no</t>
  </si>
  <si>
    <t>Left</t>
  </si>
  <si>
    <t>ant med ankle</t>
  </si>
  <si>
    <t>Symmetry</t>
  </si>
  <si>
    <t>Knee extended</t>
  </si>
  <si>
    <t>Knee flexed</t>
  </si>
  <si>
    <t>Single Leg Calf Raise</t>
  </si>
  <si>
    <t>Repetitions (n)</t>
  </si>
  <si>
    <t>Reason for termination</t>
  </si>
  <si>
    <t>cap</t>
  </si>
  <si>
    <t>achilles fatigue</t>
  </si>
  <si>
    <t>cap, glute fatig.</t>
  </si>
  <si>
    <t>fatigue</t>
  </si>
  <si>
    <t>calf fatigue</t>
  </si>
  <si>
    <t>calf pain</t>
  </si>
  <si>
    <t>Pain (n/10); Location</t>
  </si>
  <si>
    <t xml:space="preserve">Reason for termination </t>
  </si>
  <si>
    <t>Achilles fatigue</t>
  </si>
  <si>
    <t>ankle pain</t>
  </si>
  <si>
    <t>fatigue = cap</t>
  </si>
  <si>
    <t>Repetion difference</t>
  </si>
  <si>
    <t>Rep. diff percentage</t>
  </si>
  <si>
    <t>Shoulder ROM</t>
  </si>
  <si>
    <t>External Rotation (deg)</t>
  </si>
  <si>
    <t>n/a</t>
  </si>
  <si>
    <t>Internal Rotation (deg)</t>
  </si>
  <si>
    <t>5 IR</t>
  </si>
  <si>
    <t>Total arc of ROM</t>
  </si>
  <si>
    <t>5 ER</t>
  </si>
  <si>
    <t>Isometric Mid-Thigh Pull</t>
  </si>
  <si>
    <t>Peak torque (lbs)</t>
  </si>
  <si>
    <t>Weight (lbs)</t>
  </si>
  <si>
    <t>Norm strength (lbs)</t>
  </si>
  <si>
    <t>% of norm</t>
  </si>
  <si>
    <t>Trunk Endurance Assessment</t>
  </si>
  <si>
    <t>Prone Plank</t>
  </si>
  <si>
    <t>Modified Position (Y/N)</t>
  </si>
  <si>
    <t>N</t>
  </si>
  <si>
    <t>n</t>
  </si>
  <si>
    <t>Time held (min:sec)</t>
  </si>
  <si>
    <t>max</t>
  </si>
  <si>
    <t>back pain</t>
  </si>
  <si>
    <t>Left Side Plank</t>
  </si>
  <si>
    <t xml:space="preserve">Did not perform </t>
  </si>
  <si>
    <t>shoulder pain</t>
  </si>
  <si>
    <t>Right Side Plank</t>
  </si>
  <si>
    <t xml:space="preserve">Sorenson </t>
  </si>
  <si>
    <t>lb fatigue</t>
  </si>
  <si>
    <t>lack of effort</t>
  </si>
  <si>
    <t>Ratios</t>
  </si>
  <si>
    <t>Prone Plank/Sorenson</t>
  </si>
  <si>
    <t>Side Plank:Side Plank</t>
  </si>
  <si>
    <t>Left Side Plank:Sorenson</t>
  </si>
  <si>
    <t>Right Side Plank: Sorenson</t>
  </si>
  <si>
    <t>coach testing</t>
  </si>
  <si>
    <t>Sit &amp; Reach</t>
  </si>
  <si>
    <t>?</t>
  </si>
  <si>
    <t>Pike Leg lifts (n)</t>
  </si>
  <si>
    <t>60' sprint</t>
  </si>
  <si>
    <t>-</t>
  </si>
  <si>
    <t>Timed bounce</t>
  </si>
  <si>
    <t>Vertical Jump</t>
  </si>
  <si>
    <t>Above average</t>
  </si>
  <si>
    <t>Very good</t>
  </si>
  <si>
    <t>Excellent</t>
  </si>
  <si>
    <t>Already Tested</t>
  </si>
  <si>
    <t>Sam Blando</t>
  </si>
  <si>
    <t>nt</t>
  </si>
  <si>
    <t xml:space="preserve">quad </t>
  </si>
  <si>
    <t>pinch on front</t>
  </si>
  <si>
    <t>med ankle</t>
  </si>
  <si>
    <t>calf, ant shin</t>
  </si>
  <si>
    <t>Achille, ant ankle</t>
  </si>
  <si>
    <t>front</t>
  </si>
  <si>
    <t>no, 4</t>
  </si>
  <si>
    <t>calf, HS fatigue</t>
  </si>
  <si>
    <t>HS  fatigue</t>
  </si>
  <si>
    <t>shin</t>
  </si>
  <si>
    <t>HS fatigue</t>
  </si>
  <si>
    <t>2 IR</t>
  </si>
  <si>
    <t>Low back fatigue</t>
  </si>
  <si>
    <t>low back fatigue</t>
  </si>
  <si>
    <t>Coach testing</t>
  </si>
  <si>
    <t>S&amp;R</t>
  </si>
  <si>
    <t>Pike Leg lifts</t>
  </si>
  <si>
    <t xml:space="preserve">60'ft Sprint </t>
  </si>
  <si>
    <t>Vertical jump</t>
  </si>
  <si>
    <t>back of calf</t>
  </si>
  <si>
    <t>soleus</t>
  </si>
  <si>
    <t>knee</t>
  </si>
  <si>
    <t>lat ankle</t>
  </si>
  <si>
    <t>ant ankle pain</t>
  </si>
  <si>
    <t>calf &amp; glute fatig</t>
  </si>
  <si>
    <t>fatigue = calf</t>
  </si>
  <si>
    <t>4 IR</t>
  </si>
  <si>
    <t>4 ER, 5 IR</t>
  </si>
  <si>
    <t>3 ER, 6IR</t>
  </si>
  <si>
    <t>Normative strength (lbs)</t>
  </si>
  <si>
    <t>No</t>
  </si>
  <si>
    <t>Fatigue</t>
  </si>
  <si>
    <t>R shoulder pain</t>
  </si>
  <si>
    <t xml:space="preserve">Fatigue </t>
  </si>
  <si>
    <t>L shoulder pain</t>
  </si>
  <si>
    <t>Time</t>
  </si>
  <si>
    <t>Pain R hip</t>
  </si>
  <si>
    <t>tingling (B) LB to mid calf</t>
  </si>
  <si>
    <t>LB fatigue</t>
  </si>
  <si>
    <t>cramping: low back</t>
  </si>
  <si>
    <t>S&amp;reach</t>
  </si>
  <si>
    <t>Grace Danley</t>
  </si>
  <si>
    <t>Joseph Borders</t>
  </si>
  <si>
    <t>Ryder Nilson</t>
  </si>
  <si>
    <t>Rafi Pikofasky-Christiansen</t>
  </si>
  <si>
    <t>Calf</t>
  </si>
  <si>
    <t>x</t>
  </si>
  <si>
    <t>pain in foot</t>
  </si>
  <si>
    <t>pain calf &amp; foot</t>
  </si>
  <si>
    <t>fatigue- - &gt; calf fatigue</t>
  </si>
  <si>
    <t>3 IR</t>
  </si>
  <si>
    <t>y</t>
  </si>
  <si>
    <t>2 ER</t>
  </si>
  <si>
    <t>7 IR</t>
  </si>
  <si>
    <t>time</t>
  </si>
  <si>
    <t>pain</t>
  </si>
  <si>
    <t>elbow hurt</t>
  </si>
  <si>
    <t>Tired</t>
  </si>
  <si>
    <t>lb farigue</t>
  </si>
  <si>
    <t>max out</t>
  </si>
  <si>
    <t>Coach Testing</t>
  </si>
  <si>
    <t>Back tuck</t>
  </si>
  <si>
    <t>medial ankle</t>
  </si>
  <si>
    <t>Total arc of motion (deg)</t>
  </si>
  <si>
    <t>injured</t>
  </si>
  <si>
    <t>nt - injury</t>
  </si>
  <si>
    <t>Y (hand on ground)</t>
  </si>
  <si>
    <t>X</t>
  </si>
  <si>
    <t>Carter Garn</t>
  </si>
  <si>
    <t>Ty-La Mo</t>
  </si>
  <si>
    <t>ant shin</t>
  </si>
  <si>
    <t>pain in ankle</t>
  </si>
  <si>
    <t xml:space="preserve">calf </t>
  </si>
  <si>
    <t>fatigue, pain</t>
  </si>
  <si>
    <t>Y (knees)</t>
  </si>
  <si>
    <t>LBP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</si>
</sst>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1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rgb="FF000000"/>
      <name val="Arial"/>
    </font>
    <font>
      <sz val="12"/>
      <color rgb="FF000000"/>
      <name val="Arial"/>
    </font>
    <font>
      <i/>
      <sz val="12"/>
      <color rgb="FF000000"/>
      <name val="Arial"/>
    </font>
    <font>
      <sz val="10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i/>
      <sz val="10"/>
      <color theme="1"/>
      <name val="Arial"/>
    </font>
    <font>
      <sz val="9"/>
      <color theme="1"/>
      <name val="Arial"/>
    </font>
    <font>
      <sz val="10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C0E6F5"/>
        <bgColor rgb="FFC0E6F5"/>
      </patternFill>
    </fill>
    <fill>
      <patternFill patternType="solid">
        <fgColor rgb="FF00FF00"/>
        <bgColor rgb="FF00FF00"/>
      </patternFill>
    </fill>
    <fill>
      <patternFill patternType="solid">
        <fgColor rgb="FFFBE2D5"/>
        <bgColor rgb="FFFBE2D5"/>
      </patternFill>
    </fill>
    <fill>
      <patternFill patternType="solid">
        <fgColor rgb="FFDAF2D0"/>
        <bgColor rgb="FFDAF2D0"/>
      </patternFill>
    </fill>
    <fill>
      <patternFill patternType="solid">
        <fgColor rgb="FFCCCCCC"/>
        <bgColor rgb="FFCCCCCC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6" fillId="0" borderId="1" xfId="0" applyFont="1" applyBorder="1"/>
    <xf numFmtId="0" fontId="7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0" fontId="5" fillId="8" borderId="4" xfId="0" applyFont="1" applyFill="1" applyBorder="1"/>
    <xf numFmtId="0" fontId="5" fillId="0" borderId="4" xfId="0" applyFont="1" applyBorder="1"/>
    <xf numFmtId="0" fontId="5" fillId="0" borderId="1" xfId="0" applyFont="1" applyBorder="1"/>
    <xf numFmtId="0" fontId="5" fillId="0" borderId="2" xfId="0" applyFont="1" applyBorder="1"/>
    <xf numFmtId="0" fontId="5" fillId="9" borderId="4" xfId="0" applyFont="1" applyFill="1" applyBorder="1" applyAlignment="1">
      <alignment horizontal="right"/>
    </xf>
    <xf numFmtId="0" fontId="5" fillId="9" borderId="1" xfId="0" applyFont="1" applyFill="1" applyBorder="1" applyAlignment="1">
      <alignment horizontal="right"/>
    </xf>
    <xf numFmtId="0" fontId="5" fillId="10" borderId="0" xfId="0" applyFont="1" applyFill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3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7" fillId="0" borderId="0" xfId="0" applyFont="1"/>
    <xf numFmtId="0" fontId="5" fillId="0" borderId="1" xfId="0" applyFont="1" applyBorder="1" applyAlignment="1">
      <alignment horizontal="center"/>
    </xf>
    <xf numFmtId="0" fontId="5" fillId="8" borderId="1" xfId="0" applyFont="1" applyFill="1" applyBorder="1"/>
    <xf numFmtId="0" fontId="5" fillId="11" borderId="1" xfId="0" applyFont="1" applyFill="1" applyBorder="1"/>
    <xf numFmtId="10" fontId="5" fillId="0" borderId="1" xfId="0" applyNumberFormat="1" applyFont="1" applyBorder="1"/>
    <xf numFmtId="0" fontId="5" fillId="12" borderId="2" xfId="0" applyFont="1" applyFill="1" applyBorder="1" applyAlignment="1">
      <alignment horizontal="center"/>
    </xf>
    <xf numFmtId="20" fontId="5" fillId="8" borderId="4" xfId="0" applyNumberFormat="1" applyFont="1" applyFill="1" applyBorder="1"/>
    <xf numFmtId="20" fontId="5" fillId="0" borderId="4" xfId="0" applyNumberFormat="1" applyFont="1" applyBorder="1"/>
    <xf numFmtId="0" fontId="5" fillId="11" borderId="4" xfId="0" applyFont="1" applyFill="1" applyBorder="1"/>
    <xf numFmtId="2" fontId="5" fillId="8" borderId="4" xfId="0" applyNumberFormat="1" applyFont="1" applyFill="1" applyBorder="1"/>
    <xf numFmtId="2" fontId="5" fillId="0" borderId="4" xfId="0" applyNumberFormat="1" applyFont="1" applyBorder="1" applyAlignment="1">
      <alignment horizontal="center"/>
    </xf>
    <xf numFmtId="0" fontId="7" fillId="0" borderId="1" xfId="0" applyFont="1" applyBorder="1"/>
    <xf numFmtId="0" fontId="5" fillId="10" borderId="0" xfId="0" applyFont="1" applyFill="1"/>
    <xf numFmtId="0" fontId="5" fillId="8" borderId="0" xfId="0" applyFont="1" applyFill="1" applyAlignment="1">
      <alignment horizontal="center"/>
    </xf>
    <xf numFmtId="0" fontId="8" fillId="0" borderId="2" xfId="0" applyFont="1" applyBorder="1" applyAlignment="1">
      <alignment horizontal="center"/>
    </xf>
    <xf numFmtId="0" fontId="9" fillId="9" borderId="4" xfId="0" applyFont="1" applyFill="1" applyBorder="1" applyAlignment="1">
      <alignment horizontal="right"/>
    </xf>
    <xf numFmtId="0" fontId="5" fillId="0" borderId="5" xfId="0" applyFont="1" applyBorder="1"/>
    <xf numFmtId="0" fontId="5" fillId="0" borderId="6" xfId="0" applyFont="1" applyBorder="1"/>
    <xf numFmtId="10" fontId="5" fillId="0" borderId="6" xfId="0" applyNumberFormat="1" applyFont="1" applyBorder="1"/>
    <xf numFmtId="0" fontId="5" fillId="8" borderId="6" xfId="0" applyFont="1" applyFill="1" applyBorder="1"/>
    <xf numFmtId="0" fontId="5" fillId="0" borderId="7" xfId="0" applyFont="1" applyBorder="1"/>
    <xf numFmtId="0" fontId="5" fillId="10" borderId="7" xfId="0" applyFont="1" applyFill="1" applyBorder="1"/>
    <xf numFmtId="0" fontId="6" fillId="0" borderId="3" xfId="0" applyFont="1" applyBorder="1"/>
    <xf numFmtId="0" fontId="9" fillId="9" borderId="1" xfId="0" applyFont="1" applyFill="1" applyBorder="1" applyAlignment="1">
      <alignment horizontal="right"/>
    </xf>
    <xf numFmtId="0" fontId="5" fillId="0" borderId="8" xfId="0" applyFont="1" applyBorder="1"/>
    <xf numFmtId="0" fontId="5" fillId="0" borderId="9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10" fillId="10" borderId="0" xfId="0" applyFont="1" applyFill="1" applyAlignment="1">
      <alignment horizontal="left"/>
    </xf>
    <xf numFmtId="0" fontId="6" fillId="0" borderId="2" xfId="0" applyFont="1" applyBorder="1"/>
    <xf numFmtId="0" fontId="5" fillId="10" borderId="2" xfId="0" applyFont="1" applyFill="1" applyBorder="1" applyAlignment="1">
      <alignment horizontal="center"/>
    </xf>
    <xf numFmtId="20" fontId="5" fillId="0" borderId="1" xfId="0" applyNumberFormat="1" applyFont="1" applyBorder="1"/>
    <xf numFmtId="0" fontId="5" fillId="0" borderId="0" xfId="0" applyFont="1" applyAlignment="1">
      <alignment horizontal="center"/>
    </xf>
    <xf numFmtId="10" fontId="5" fillId="8" borderId="1" xfId="0" applyNumberFormat="1" applyFont="1" applyFill="1" applyBorder="1"/>
    <xf numFmtId="0" fontId="5" fillId="13" borderId="2" xfId="0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10" fillId="8" borderId="1" xfId="0" applyFont="1" applyFill="1" applyBorder="1" applyAlignment="1">
      <alignment horizontal="left"/>
    </xf>
    <xf numFmtId="0" fontId="10" fillId="10" borderId="4" xfId="0" applyFont="1" applyFill="1" applyBorder="1"/>
    <xf numFmtId="0" fontId="5" fillId="10" borderId="4" xfId="0" applyFont="1" applyFill="1" applyBorder="1"/>
    <xf numFmtId="0" fontId="1" fillId="0" borderId="1" xfId="0" applyFont="1" applyBorder="1"/>
    <xf numFmtId="20" fontId="5" fillId="10" borderId="4" xfId="0" applyNumberFormat="1" applyFont="1" applyFill="1" applyBorder="1"/>
    <xf numFmtId="0" fontId="1" fillId="0" borderId="1" xfId="0" applyFont="1" applyBorder="1" applyAlignment="1">
      <alignment horizontal="right"/>
    </xf>
    <xf numFmtId="0" fontId="5" fillId="10" borderId="1" xfId="0" applyFont="1" applyFill="1" applyBorder="1" applyAlignment="1">
      <alignment horizontal="right"/>
    </xf>
  </cellXfs>
  <cellStyles count="1">
    <cellStyle name="Normal" xfId="0" builtinId="0"/>
  </cellStyles>
  <dxfs count="380"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name="Weight Bearing Lunge Test-style" pivot="0" count="4" xr9:uid="{00000000-0011-0000-FFFF-FFFF00000000}">
      <tableStyleElement type="wholeTable" size="0" dxfId="379"/>
      <tableStyleElement type="headerRow" dxfId="378"/>
      <tableStyleElement type="firstRowStripe" dxfId="377"/>
      <tableStyleElement type="secondRowStripe" dxfId="376"/>
    </tableStyle>
    <tableStyle name="Single Leg Calf Raise-style" pivot="0" count="4" xr9:uid="{00000000-0011-0000-FFFF-FFFF01000000}">
      <tableStyleElement type="wholeTable" size="0" dxfId="375"/>
      <tableStyleElement type="headerRow" dxfId="374"/>
      <tableStyleElement type="firstRowStripe" dxfId="373"/>
      <tableStyleElement type="secondRowStripe" dxfId="372"/>
    </tableStyle>
    <tableStyle name="Shoulder ROM-style" pivot="0" count="4" xr9:uid="{00000000-0011-0000-FFFF-FFFF02000000}">
      <tableStyleElement type="wholeTable" size="0" dxfId="371"/>
      <tableStyleElement type="headerRow" dxfId="370"/>
      <tableStyleElement type="firstRowStripe" dxfId="369"/>
      <tableStyleElement type="secondRowStripe" dxfId="368"/>
    </tableStyle>
    <tableStyle name="Iso Mid-Thigh Pull-style" pivot="0" count="4" xr9:uid="{00000000-0011-0000-FFFF-FFFF03000000}">
      <tableStyleElement type="wholeTable" size="0" dxfId="367"/>
      <tableStyleElement type="headerRow" dxfId="366"/>
      <tableStyleElement type="firstRowStripe" dxfId="365"/>
      <tableStyleElement type="secondRowStripe" dxfId="364"/>
    </tableStyle>
    <tableStyle name="Trunk Endurance-style" pivot="0" count="4" xr9:uid="{00000000-0011-0000-FFFF-FFFF04000000}">
      <tableStyleElement type="wholeTable" size="0" dxfId="363"/>
      <tableStyleElement type="headerRow" dxfId="362"/>
      <tableStyleElement type="firstRowStripe" dxfId="361"/>
      <tableStyleElement type="secondRowStripe" dxfId="36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6"/>
  <sheetViews>
    <sheetView workbookViewId="0"/>
  </sheetViews>
  <sheetFormatPr defaultColWidth="12.6640625" defaultRowHeight="15.75" customHeight="1" x14ac:dyDescent="0.25"/>
  <cols>
    <col min="3" max="3" width="17" customWidth="1"/>
  </cols>
  <sheetData>
    <row r="1" spans="1:3" ht="13.2" x14ac:dyDescent="0.25">
      <c r="A1" s="1" t="s">
        <v>0</v>
      </c>
    </row>
    <row r="4" spans="1:3" ht="15.75" customHeight="1" x14ac:dyDescent="0.3">
      <c r="A4" s="2" t="s">
        <v>1</v>
      </c>
      <c r="B4" s="2" t="s">
        <v>2</v>
      </c>
      <c r="C4" s="2" t="s">
        <v>3</v>
      </c>
    </row>
    <row r="5" spans="1:3" ht="15" x14ac:dyDescent="0.25">
      <c r="A5" s="3" t="s">
        <v>4</v>
      </c>
      <c r="B5" s="4" t="s">
        <v>5</v>
      </c>
      <c r="C5" s="3" t="s">
        <v>6</v>
      </c>
    </row>
    <row r="6" spans="1:3" ht="15" x14ac:dyDescent="0.25">
      <c r="A6" s="3" t="s">
        <v>4</v>
      </c>
      <c r="B6" s="4" t="s">
        <v>7</v>
      </c>
      <c r="C6" s="3" t="s">
        <v>8</v>
      </c>
    </row>
    <row r="7" spans="1:3" ht="15" x14ac:dyDescent="0.25">
      <c r="A7" s="3" t="s">
        <v>4</v>
      </c>
      <c r="B7" s="4" t="s">
        <v>7</v>
      </c>
      <c r="C7" s="3" t="s">
        <v>9</v>
      </c>
    </row>
    <row r="8" spans="1:3" ht="15" x14ac:dyDescent="0.25">
      <c r="A8" s="3" t="s">
        <v>4</v>
      </c>
      <c r="B8" s="4" t="s">
        <v>7</v>
      </c>
      <c r="C8" s="3" t="s">
        <v>10</v>
      </c>
    </row>
    <row r="9" spans="1:3" ht="15" x14ac:dyDescent="0.25">
      <c r="A9" s="3" t="s">
        <v>4</v>
      </c>
      <c r="B9" s="4" t="s">
        <v>7</v>
      </c>
      <c r="C9" s="3" t="s">
        <v>11</v>
      </c>
    </row>
    <row r="10" spans="1:3" ht="15" x14ac:dyDescent="0.25">
      <c r="A10" s="3" t="s">
        <v>4</v>
      </c>
      <c r="B10" s="5" t="s">
        <v>12</v>
      </c>
      <c r="C10" s="3" t="s">
        <v>13</v>
      </c>
    </row>
    <row r="11" spans="1:3" ht="15" x14ac:dyDescent="0.25">
      <c r="A11" s="3" t="s">
        <v>4</v>
      </c>
      <c r="B11" s="5" t="s">
        <v>14</v>
      </c>
      <c r="C11" s="3" t="s">
        <v>15</v>
      </c>
    </row>
    <row r="12" spans="1:3" ht="15" x14ac:dyDescent="0.25">
      <c r="A12" s="3" t="s">
        <v>4</v>
      </c>
      <c r="B12" s="5" t="s">
        <v>14</v>
      </c>
      <c r="C12" s="3" t="s">
        <v>16</v>
      </c>
    </row>
    <row r="13" spans="1:3" ht="15" x14ac:dyDescent="0.25">
      <c r="A13" s="3" t="s">
        <v>4</v>
      </c>
      <c r="B13" s="5" t="s">
        <v>14</v>
      </c>
      <c r="C13" s="3" t="s">
        <v>17</v>
      </c>
    </row>
    <row r="14" spans="1:3" ht="15" x14ac:dyDescent="0.25">
      <c r="A14" s="3" t="s">
        <v>4</v>
      </c>
      <c r="B14" s="5" t="s">
        <v>14</v>
      </c>
      <c r="C14" s="3" t="s">
        <v>18</v>
      </c>
    </row>
    <row r="15" spans="1:3" ht="15" x14ac:dyDescent="0.25">
      <c r="A15" s="3" t="s">
        <v>4</v>
      </c>
      <c r="B15" s="5" t="s">
        <v>14</v>
      </c>
      <c r="C15" s="3" t="s">
        <v>19</v>
      </c>
    </row>
    <row r="16" spans="1:3" ht="15" x14ac:dyDescent="0.25">
      <c r="A16" s="3" t="s">
        <v>4</v>
      </c>
      <c r="B16" s="5" t="s">
        <v>14</v>
      </c>
      <c r="C16" s="3" t="s">
        <v>20</v>
      </c>
    </row>
    <row r="17" spans="1:9" ht="15.75" customHeight="1" x14ac:dyDescent="0.3">
      <c r="A17" s="6" t="s">
        <v>4</v>
      </c>
      <c r="B17" s="7" t="s">
        <v>21</v>
      </c>
      <c r="C17" s="6" t="s">
        <v>22</v>
      </c>
    </row>
    <row r="18" spans="1:9" ht="15.75" customHeight="1" x14ac:dyDescent="0.3">
      <c r="A18" s="6" t="s">
        <v>4</v>
      </c>
      <c r="B18" s="7" t="s">
        <v>21</v>
      </c>
      <c r="C18" s="6" t="s">
        <v>23</v>
      </c>
    </row>
    <row r="19" spans="1:9" ht="15.75" customHeight="1" x14ac:dyDescent="0.3">
      <c r="A19" s="6" t="s">
        <v>4</v>
      </c>
      <c r="B19" s="7" t="s">
        <v>21</v>
      </c>
      <c r="C19" s="6" t="s">
        <v>24</v>
      </c>
    </row>
    <row r="20" spans="1:9" ht="15" x14ac:dyDescent="0.25">
      <c r="A20" s="3" t="s">
        <v>4</v>
      </c>
      <c r="B20" s="5" t="s">
        <v>25</v>
      </c>
      <c r="C20" s="3" t="s">
        <v>26</v>
      </c>
    </row>
    <row r="21" spans="1:9" ht="15" x14ac:dyDescent="0.25">
      <c r="A21" s="3" t="s">
        <v>4</v>
      </c>
      <c r="B21" s="5" t="s">
        <v>25</v>
      </c>
      <c r="C21" s="3" t="s">
        <v>27</v>
      </c>
    </row>
    <row r="22" spans="1:9" ht="15" x14ac:dyDescent="0.25">
      <c r="A22" s="3" t="s">
        <v>4</v>
      </c>
      <c r="B22" s="5" t="s">
        <v>25</v>
      </c>
      <c r="C22" s="3" t="s">
        <v>28</v>
      </c>
    </row>
    <row r="23" spans="1:9" ht="15" x14ac:dyDescent="0.25">
      <c r="A23" s="3" t="s">
        <v>4</v>
      </c>
      <c r="B23" s="5" t="s">
        <v>25</v>
      </c>
      <c r="C23" s="3" t="s">
        <v>29</v>
      </c>
    </row>
    <row r="24" spans="1:9" ht="15" x14ac:dyDescent="0.25">
      <c r="A24" s="3" t="s">
        <v>4</v>
      </c>
      <c r="B24" s="5" t="s">
        <v>25</v>
      </c>
      <c r="C24" s="3" t="s">
        <v>30</v>
      </c>
    </row>
    <row r="25" spans="1:9" ht="15" x14ac:dyDescent="0.25">
      <c r="A25" s="3" t="s">
        <v>4</v>
      </c>
      <c r="B25" s="8" t="s">
        <v>31</v>
      </c>
      <c r="C25" s="3" t="s">
        <v>32</v>
      </c>
    </row>
    <row r="26" spans="1:9" ht="15" x14ac:dyDescent="0.25">
      <c r="A26" s="3" t="s">
        <v>4</v>
      </c>
      <c r="B26" s="8" t="s">
        <v>31</v>
      </c>
      <c r="C26" s="3" t="s">
        <v>33</v>
      </c>
    </row>
    <row r="27" spans="1:9" ht="15" x14ac:dyDescent="0.25">
      <c r="A27" s="3" t="s">
        <v>4</v>
      </c>
      <c r="B27" s="8" t="s">
        <v>31</v>
      </c>
      <c r="C27" s="3" t="s">
        <v>34</v>
      </c>
    </row>
    <row r="28" spans="1:9" ht="15" x14ac:dyDescent="0.25">
      <c r="A28" s="3" t="s">
        <v>4</v>
      </c>
      <c r="B28" s="8" t="s">
        <v>31</v>
      </c>
      <c r="C28" s="3" t="s">
        <v>35</v>
      </c>
    </row>
    <row r="29" spans="1:9" ht="15" x14ac:dyDescent="0.25">
      <c r="A29" s="3" t="s">
        <v>4</v>
      </c>
      <c r="B29" s="8" t="s">
        <v>31</v>
      </c>
      <c r="C29" s="3" t="s">
        <v>36</v>
      </c>
    </row>
    <row r="30" spans="1:9" ht="15" x14ac:dyDescent="0.25">
      <c r="A30" s="3" t="s">
        <v>4</v>
      </c>
      <c r="B30" s="8" t="s">
        <v>31</v>
      </c>
      <c r="C30" s="3" t="s">
        <v>37</v>
      </c>
    </row>
    <row r="31" spans="1:9" ht="15" x14ac:dyDescent="0.25">
      <c r="A31" s="3" t="s">
        <v>4</v>
      </c>
      <c r="B31" s="8" t="s">
        <v>31</v>
      </c>
      <c r="C31" s="3" t="s">
        <v>38</v>
      </c>
    </row>
    <row r="32" spans="1:9" ht="15" x14ac:dyDescent="0.25">
      <c r="A32" s="3" t="s">
        <v>4</v>
      </c>
      <c r="B32" s="8" t="s">
        <v>31</v>
      </c>
      <c r="C32" s="3" t="s">
        <v>39</v>
      </c>
      <c r="G32" s="1" t="s">
        <v>40</v>
      </c>
      <c r="H32" s="1">
        <v>1.05</v>
      </c>
      <c r="I32" s="1" t="s">
        <v>41</v>
      </c>
    </row>
    <row r="33" spans="1:10" ht="15.75" customHeight="1" x14ac:dyDescent="0.3">
      <c r="A33" s="9" t="s">
        <v>4</v>
      </c>
      <c r="B33" s="10" t="s">
        <v>42</v>
      </c>
      <c r="C33" s="9" t="s">
        <v>43</v>
      </c>
      <c r="G33" s="1" t="s">
        <v>44</v>
      </c>
      <c r="H33" s="1">
        <v>2</v>
      </c>
      <c r="I33" s="1">
        <v>2</v>
      </c>
    </row>
    <row r="34" spans="1:10" ht="15.75" customHeight="1" x14ac:dyDescent="0.3">
      <c r="A34" s="9" t="s">
        <v>4</v>
      </c>
      <c r="B34" s="10" t="s">
        <v>42</v>
      </c>
      <c r="C34" s="9" t="s">
        <v>45</v>
      </c>
      <c r="G34" s="1" t="s">
        <v>46</v>
      </c>
      <c r="H34" s="1">
        <v>2</v>
      </c>
      <c r="I34" s="1">
        <v>2</v>
      </c>
    </row>
    <row r="35" spans="1:10" ht="15" x14ac:dyDescent="0.25">
      <c r="A35" s="3" t="s">
        <v>4</v>
      </c>
      <c r="B35" s="4" t="s">
        <v>47</v>
      </c>
      <c r="C35" s="3" t="s">
        <v>48</v>
      </c>
      <c r="H35" s="1" t="s">
        <v>49</v>
      </c>
      <c r="I35" s="1" t="s">
        <v>50</v>
      </c>
      <c r="J35" s="1" t="s">
        <v>51</v>
      </c>
    </row>
    <row r="36" spans="1:10" ht="15" x14ac:dyDescent="0.25">
      <c r="A36" s="3" t="s">
        <v>4</v>
      </c>
      <c r="B36" s="4" t="s">
        <v>47</v>
      </c>
      <c r="C36" s="3" t="s">
        <v>52</v>
      </c>
      <c r="G36" s="1" t="s">
        <v>53</v>
      </c>
      <c r="H36" s="1">
        <v>2</v>
      </c>
      <c r="I36" s="1">
        <v>2</v>
      </c>
    </row>
    <row r="37" spans="1:10" ht="15" x14ac:dyDescent="0.25">
      <c r="A37" s="3" t="s">
        <v>4</v>
      </c>
      <c r="B37" s="4" t="s">
        <v>47</v>
      </c>
      <c r="C37" s="3" t="s">
        <v>54</v>
      </c>
      <c r="G37" s="1" t="s">
        <v>55</v>
      </c>
      <c r="H37" s="1">
        <v>1.02</v>
      </c>
      <c r="I37" s="1">
        <v>1</v>
      </c>
    </row>
    <row r="38" spans="1:10" ht="15" x14ac:dyDescent="0.25">
      <c r="A38" s="3" t="s">
        <v>56</v>
      </c>
      <c r="B38" s="4" t="s">
        <v>7</v>
      </c>
      <c r="C38" s="3" t="s">
        <v>57</v>
      </c>
    </row>
    <row r="39" spans="1:10" ht="15" x14ac:dyDescent="0.25">
      <c r="A39" s="3" t="s">
        <v>56</v>
      </c>
      <c r="B39" s="4" t="s">
        <v>7</v>
      </c>
      <c r="C39" s="3" t="s">
        <v>58</v>
      </c>
    </row>
    <row r="40" spans="1:10" ht="15" x14ac:dyDescent="0.25">
      <c r="A40" s="3" t="s">
        <v>56</v>
      </c>
      <c r="B40" s="4" t="s">
        <v>7</v>
      </c>
      <c r="C40" s="3" t="s">
        <v>59</v>
      </c>
      <c r="H40" s="1" t="s">
        <v>49</v>
      </c>
      <c r="I40" s="1" t="s">
        <v>50</v>
      </c>
      <c r="J40" s="1" t="s">
        <v>51</v>
      </c>
    </row>
    <row r="41" spans="1:10" ht="15" x14ac:dyDescent="0.25">
      <c r="A41" s="3" t="s">
        <v>56</v>
      </c>
      <c r="B41" s="4" t="s">
        <v>7</v>
      </c>
      <c r="C41" s="3" t="s">
        <v>60</v>
      </c>
      <c r="G41" s="1" t="s">
        <v>61</v>
      </c>
      <c r="H41" s="1">
        <v>1.45</v>
      </c>
      <c r="I41" s="1">
        <v>1.46</v>
      </c>
      <c r="J41" s="1">
        <v>3</v>
      </c>
    </row>
    <row r="42" spans="1:10" ht="15" x14ac:dyDescent="0.25">
      <c r="A42" s="3" t="s">
        <v>56</v>
      </c>
      <c r="B42" s="4" t="s">
        <v>7</v>
      </c>
      <c r="C42" s="3" t="s">
        <v>62</v>
      </c>
      <c r="G42" s="1" t="s">
        <v>63</v>
      </c>
      <c r="H42" s="1">
        <v>57</v>
      </c>
      <c r="I42" s="1">
        <v>50</v>
      </c>
      <c r="J42" s="1">
        <v>1.33</v>
      </c>
    </row>
    <row r="43" spans="1:10" ht="15" x14ac:dyDescent="0.25">
      <c r="A43" s="3" t="s">
        <v>56</v>
      </c>
      <c r="B43" s="4" t="s">
        <v>7</v>
      </c>
      <c r="C43" s="3" t="s">
        <v>64</v>
      </c>
      <c r="G43" s="1" t="s">
        <v>65</v>
      </c>
      <c r="H43" s="1">
        <v>2</v>
      </c>
      <c r="I43" s="1">
        <v>2</v>
      </c>
      <c r="J43" s="1">
        <v>3</v>
      </c>
    </row>
    <row r="44" spans="1:10" ht="15" x14ac:dyDescent="0.25">
      <c r="A44" s="3" t="s">
        <v>56</v>
      </c>
      <c r="B44" s="4" t="s">
        <v>7</v>
      </c>
      <c r="C44" s="3" t="s">
        <v>66</v>
      </c>
    </row>
    <row r="45" spans="1:10" ht="15.6" x14ac:dyDescent="0.3">
      <c r="A45" s="11" t="s">
        <v>56</v>
      </c>
      <c r="B45" s="12" t="s">
        <v>67</v>
      </c>
      <c r="C45" s="11" t="s">
        <v>68</v>
      </c>
    </row>
    <row r="46" spans="1:10" ht="15" x14ac:dyDescent="0.25">
      <c r="A46" s="3" t="s">
        <v>56</v>
      </c>
      <c r="B46" s="5" t="s">
        <v>14</v>
      </c>
      <c r="C46" s="3" t="s">
        <v>69</v>
      </c>
    </row>
    <row r="47" spans="1:10" ht="15" x14ac:dyDescent="0.25">
      <c r="A47" s="3" t="s">
        <v>56</v>
      </c>
      <c r="B47" s="5" t="s">
        <v>14</v>
      </c>
      <c r="C47" s="3" t="s">
        <v>70</v>
      </c>
    </row>
    <row r="48" spans="1:10" ht="15" x14ac:dyDescent="0.25">
      <c r="A48" s="3" t="s">
        <v>56</v>
      </c>
      <c r="B48" s="5" t="s">
        <v>14</v>
      </c>
      <c r="C48" s="3" t="s">
        <v>71</v>
      </c>
    </row>
    <row r="49" spans="1:3" ht="15" x14ac:dyDescent="0.25">
      <c r="A49" s="3" t="s">
        <v>56</v>
      </c>
      <c r="B49" s="5" t="s">
        <v>14</v>
      </c>
      <c r="C49" s="3" t="s">
        <v>72</v>
      </c>
    </row>
    <row r="50" spans="1:3" ht="15" x14ac:dyDescent="0.25">
      <c r="A50" s="3" t="s">
        <v>56</v>
      </c>
      <c r="B50" s="5" t="s">
        <v>14</v>
      </c>
      <c r="C50" s="3" t="s">
        <v>73</v>
      </c>
    </row>
    <row r="51" spans="1:3" ht="15" x14ac:dyDescent="0.25">
      <c r="A51" s="3" t="s">
        <v>56</v>
      </c>
      <c r="B51" s="5" t="s">
        <v>14</v>
      </c>
      <c r="C51" s="3" t="s">
        <v>74</v>
      </c>
    </row>
    <row r="52" spans="1:3" ht="15" x14ac:dyDescent="0.25">
      <c r="A52" s="3" t="s">
        <v>56</v>
      </c>
      <c r="B52" s="5" t="s">
        <v>14</v>
      </c>
      <c r="C52" s="3" t="s">
        <v>75</v>
      </c>
    </row>
    <row r="53" spans="1:3" ht="15" x14ac:dyDescent="0.25">
      <c r="A53" s="3" t="s">
        <v>56</v>
      </c>
      <c r="B53" s="5" t="s">
        <v>14</v>
      </c>
      <c r="C53" s="3" t="s">
        <v>76</v>
      </c>
    </row>
    <row r="54" spans="1:3" ht="15" x14ac:dyDescent="0.25">
      <c r="A54" s="3" t="s">
        <v>56</v>
      </c>
      <c r="B54" s="5" t="s">
        <v>14</v>
      </c>
      <c r="C54" s="3" t="s">
        <v>77</v>
      </c>
    </row>
    <row r="55" spans="1:3" ht="15" x14ac:dyDescent="0.25">
      <c r="A55" s="3" t="s">
        <v>56</v>
      </c>
      <c r="B55" s="5" t="s">
        <v>14</v>
      </c>
      <c r="C55" s="3" t="s">
        <v>78</v>
      </c>
    </row>
    <row r="56" spans="1:3" ht="15" x14ac:dyDescent="0.25">
      <c r="A56" s="3" t="s">
        <v>56</v>
      </c>
      <c r="B56" s="5" t="s">
        <v>14</v>
      </c>
      <c r="C56" s="3" t="s">
        <v>79</v>
      </c>
    </row>
    <row r="57" spans="1:3" ht="15" x14ac:dyDescent="0.25">
      <c r="A57" s="3" t="s">
        <v>56</v>
      </c>
      <c r="B57" s="5" t="s">
        <v>14</v>
      </c>
      <c r="C57" s="3" t="s">
        <v>80</v>
      </c>
    </row>
    <row r="58" spans="1:3" ht="15" x14ac:dyDescent="0.25">
      <c r="A58" s="3" t="s">
        <v>56</v>
      </c>
      <c r="B58" s="5" t="s">
        <v>14</v>
      </c>
      <c r="C58" s="3" t="s">
        <v>81</v>
      </c>
    </row>
    <row r="59" spans="1:3" ht="15" x14ac:dyDescent="0.25">
      <c r="A59" s="3" t="s">
        <v>56</v>
      </c>
      <c r="B59" s="5" t="s">
        <v>14</v>
      </c>
      <c r="C59" s="3" t="s">
        <v>82</v>
      </c>
    </row>
    <row r="60" spans="1:3" ht="15" x14ac:dyDescent="0.25">
      <c r="A60" s="3" t="s">
        <v>56</v>
      </c>
      <c r="B60" s="5" t="s">
        <v>14</v>
      </c>
      <c r="C60" s="3" t="s">
        <v>83</v>
      </c>
    </row>
    <row r="61" spans="1:3" ht="15" x14ac:dyDescent="0.25">
      <c r="A61" s="3" t="s">
        <v>56</v>
      </c>
      <c r="B61" s="5" t="s">
        <v>25</v>
      </c>
      <c r="C61" s="3" t="s">
        <v>84</v>
      </c>
    </row>
    <row r="62" spans="1:3" ht="15" x14ac:dyDescent="0.25">
      <c r="A62" s="3" t="s">
        <v>56</v>
      </c>
      <c r="B62" s="5" t="s">
        <v>25</v>
      </c>
      <c r="C62" s="3" t="s">
        <v>85</v>
      </c>
    </row>
    <row r="63" spans="1:3" ht="15" x14ac:dyDescent="0.25">
      <c r="A63" s="3" t="s">
        <v>56</v>
      </c>
      <c r="B63" s="8" t="s">
        <v>31</v>
      </c>
      <c r="C63" s="3" t="s">
        <v>86</v>
      </c>
    </row>
    <row r="64" spans="1:3" ht="15" x14ac:dyDescent="0.25">
      <c r="A64" s="3" t="s">
        <v>56</v>
      </c>
      <c r="B64" s="8" t="s">
        <v>31</v>
      </c>
      <c r="C64" s="3" t="s">
        <v>87</v>
      </c>
    </row>
    <row r="65" spans="1:3" ht="15" x14ac:dyDescent="0.25">
      <c r="A65" s="3" t="s">
        <v>56</v>
      </c>
      <c r="B65" s="8" t="s">
        <v>31</v>
      </c>
      <c r="C65" s="3" t="s">
        <v>88</v>
      </c>
    </row>
    <row r="66" spans="1:3" ht="15" x14ac:dyDescent="0.25">
      <c r="A66" s="3" t="s">
        <v>56</v>
      </c>
      <c r="B66" s="8" t="s">
        <v>31</v>
      </c>
      <c r="C66" s="3" t="s">
        <v>89</v>
      </c>
    </row>
    <row r="67" spans="1:3" ht="15" x14ac:dyDescent="0.25">
      <c r="A67" s="3" t="s">
        <v>56</v>
      </c>
      <c r="B67" s="8" t="s">
        <v>31</v>
      </c>
      <c r="C67" s="3" t="s">
        <v>90</v>
      </c>
    </row>
    <row r="68" spans="1:3" ht="15" x14ac:dyDescent="0.25">
      <c r="A68" s="3" t="s">
        <v>56</v>
      </c>
      <c r="B68" s="8" t="s">
        <v>31</v>
      </c>
      <c r="C68" s="3" t="s">
        <v>91</v>
      </c>
    </row>
    <row r="69" spans="1:3" ht="15" x14ac:dyDescent="0.25">
      <c r="A69" s="3" t="s">
        <v>56</v>
      </c>
      <c r="B69" s="8" t="s">
        <v>31</v>
      </c>
      <c r="C69" s="3" t="s">
        <v>92</v>
      </c>
    </row>
    <row r="70" spans="1:3" ht="15" x14ac:dyDescent="0.25">
      <c r="A70" s="3" t="s">
        <v>56</v>
      </c>
      <c r="B70" s="8" t="s">
        <v>31</v>
      </c>
      <c r="C70" s="3" t="s">
        <v>93</v>
      </c>
    </row>
    <row r="71" spans="1:3" ht="15" x14ac:dyDescent="0.25">
      <c r="A71" s="3" t="s">
        <v>56</v>
      </c>
      <c r="B71" s="8" t="s">
        <v>31</v>
      </c>
      <c r="C71" s="3" t="s">
        <v>94</v>
      </c>
    </row>
    <row r="72" spans="1:3" ht="15" x14ac:dyDescent="0.25">
      <c r="A72" s="3" t="s">
        <v>56</v>
      </c>
      <c r="B72" s="8" t="s">
        <v>31</v>
      </c>
      <c r="C72" s="3" t="s">
        <v>95</v>
      </c>
    </row>
    <row r="73" spans="1:3" ht="15" x14ac:dyDescent="0.25">
      <c r="A73" s="3" t="s">
        <v>56</v>
      </c>
      <c r="B73" s="4" t="s">
        <v>96</v>
      </c>
      <c r="C73" s="3" t="s">
        <v>97</v>
      </c>
    </row>
    <row r="74" spans="1:3" ht="15.6" x14ac:dyDescent="0.3">
      <c r="A74" s="9" t="s">
        <v>56</v>
      </c>
      <c r="B74" s="10" t="s">
        <v>42</v>
      </c>
      <c r="C74" s="9" t="s">
        <v>98</v>
      </c>
    </row>
    <row r="75" spans="1:3" ht="15" x14ac:dyDescent="0.25">
      <c r="A75" s="3" t="s">
        <v>56</v>
      </c>
      <c r="B75" s="8" t="s">
        <v>47</v>
      </c>
      <c r="C75" s="3" t="s">
        <v>99</v>
      </c>
    </row>
    <row r="76" spans="1:3" ht="15" x14ac:dyDescent="0.25">
      <c r="A76" s="3" t="s">
        <v>100</v>
      </c>
      <c r="B76" s="5" t="s">
        <v>101</v>
      </c>
      <c r="C76" s="3" t="s">
        <v>102</v>
      </c>
    </row>
  </sheetData>
  <autoFilter ref="A4:C76" xr:uid="{00000000-0009-0000-0000-000000000000}">
    <sortState xmlns:xlrd2="http://schemas.microsoft.com/office/spreadsheetml/2017/richdata2" ref="A4:C76">
      <sortCondition ref="A4:A76"/>
      <sortCondition ref="B4:B76"/>
      <sortCondition ref="C4:C7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12"/>
  <sheetViews>
    <sheetView workbookViewId="0">
      <selection activeCell="S1" sqref="S1:S1048576"/>
    </sheetView>
  </sheetViews>
  <sheetFormatPr defaultColWidth="12.6640625" defaultRowHeight="15.75" customHeight="1" x14ac:dyDescent="0.25"/>
  <cols>
    <col min="1" max="1" width="25.6640625" customWidth="1"/>
  </cols>
  <sheetData>
    <row r="1" spans="1:25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x14ac:dyDescent="0.25">
      <c r="A3" s="14" t="s">
        <v>103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x14ac:dyDescent="0.25">
      <c r="A4" s="15" t="s">
        <v>104</v>
      </c>
      <c r="B4" s="16" t="s">
        <v>105</v>
      </c>
      <c r="C4" s="16" t="s">
        <v>70</v>
      </c>
      <c r="D4" s="16" t="s">
        <v>71</v>
      </c>
      <c r="E4" s="16" t="s">
        <v>72</v>
      </c>
      <c r="F4" s="16" t="s">
        <v>73</v>
      </c>
      <c r="G4" s="16" t="s">
        <v>74</v>
      </c>
      <c r="H4" s="16" t="s">
        <v>75</v>
      </c>
      <c r="I4" s="16" t="s">
        <v>76</v>
      </c>
      <c r="J4" s="16" t="s">
        <v>77</v>
      </c>
      <c r="K4" s="16" t="s">
        <v>78</v>
      </c>
      <c r="L4" s="16" t="s">
        <v>79</v>
      </c>
      <c r="M4" s="16" t="s">
        <v>84</v>
      </c>
      <c r="N4" s="16" t="s">
        <v>85</v>
      </c>
      <c r="O4" s="16" t="s">
        <v>80</v>
      </c>
      <c r="P4" s="16" t="s">
        <v>81</v>
      </c>
      <c r="Q4" s="16" t="s">
        <v>82</v>
      </c>
      <c r="R4" s="16" t="s">
        <v>106</v>
      </c>
      <c r="S4" s="13"/>
      <c r="T4" s="13"/>
      <c r="U4" s="13"/>
      <c r="V4" s="13"/>
      <c r="W4" s="13"/>
      <c r="X4" s="13"/>
      <c r="Y4" s="13"/>
    </row>
    <row r="5" spans="1:25" x14ac:dyDescent="0.25">
      <c r="A5" s="17" t="s">
        <v>107</v>
      </c>
      <c r="B5" s="18">
        <v>32</v>
      </c>
      <c r="C5" s="19">
        <v>31</v>
      </c>
      <c r="D5" s="18">
        <v>28</v>
      </c>
      <c r="E5" s="18">
        <v>40</v>
      </c>
      <c r="F5" s="19">
        <v>28</v>
      </c>
      <c r="G5" s="18">
        <v>32</v>
      </c>
      <c r="H5" s="19">
        <v>27</v>
      </c>
      <c r="I5" s="19">
        <v>32</v>
      </c>
      <c r="J5" s="18"/>
      <c r="K5" s="18"/>
      <c r="L5" s="18">
        <v>31</v>
      </c>
      <c r="M5" s="18">
        <v>42</v>
      </c>
      <c r="N5" s="18">
        <v>38</v>
      </c>
      <c r="O5" s="18"/>
      <c r="P5" s="19">
        <v>40</v>
      </c>
      <c r="Q5" s="18">
        <v>40</v>
      </c>
      <c r="R5" s="20">
        <v>29</v>
      </c>
      <c r="S5" s="13"/>
      <c r="T5" s="13"/>
      <c r="U5" s="13"/>
      <c r="V5" s="13"/>
      <c r="W5" s="13"/>
      <c r="X5" s="13"/>
      <c r="Y5" s="13"/>
    </row>
    <row r="6" spans="1:25" x14ac:dyDescent="0.25">
      <c r="A6" s="17" t="s">
        <v>108</v>
      </c>
      <c r="B6" s="18" t="s">
        <v>109</v>
      </c>
      <c r="C6" s="19" t="s">
        <v>110</v>
      </c>
      <c r="D6" s="18" t="s">
        <v>111</v>
      </c>
      <c r="E6" s="18" t="s">
        <v>111</v>
      </c>
      <c r="F6" s="19" t="s">
        <v>111</v>
      </c>
      <c r="G6" s="18" t="s">
        <v>111</v>
      </c>
      <c r="H6" s="19" t="s">
        <v>112</v>
      </c>
      <c r="I6" s="19" t="s">
        <v>111</v>
      </c>
      <c r="J6" s="18"/>
      <c r="K6" s="18"/>
      <c r="L6" s="18" t="s">
        <v>112</v>
      </c>
      <c r="M6" s="18" t="s">
        <v>111</v>
      </c>
      <c r="N6" s="18" t="s">
        <v>113</v>
      </c>
      <c r="O6" s="18"/>
      <c r="P6" s="19" t="s">
        <v>111</v>
      </c>
      <c r="Q6" s="18" t="s">
        <v>111</v>
      </c>
      <c r="R6" s="20" t="s">
        <v>111</v>
      </c>
      <c r="S6" s="13"/>
      <c r="T6" s="13"/>
      <c r="U6" s="13"/>
      <c r="V6" s="13"/>
      <c r="W6" s="13"/>
      <c r="X6" s="13"/>
      <c r="Y6" s="13"/>
    </row>
    <row r="7" spans="1:25" x14ac:dyDescent="0.25">
      <c r="A7" s="17" t="s">
        <v>114</v>
      </c>
      <c r="B7" s="18" t="s">
        <v>113</v>
      </c>
      <c r="C7" s="19">
        <v>4</v>
      </c>
      <c r="D7" s="18" t="s">
        <v>113</v>
      </c>
      <c r="E7" s="18" t="s">
        <v>113</v>
      </c>
      <c r="F7" s="19" t="s">
        <v>113</v>
      </c>
      <c r="G7" s="18" t="s">
        <v>113</v>
      </c>
      <c r="H7" s="19" t="s">
        <v>113</v>
      </c>
      <c r="I7" s="19">
        <v>0</v>
      </c>
      <c r="J7" s="18"/>
      <c r="K7" s="18"/>
      <c r="L7" s="18" t="s">
        <v>113</v>
      </c>
      <c r="M7" s="18" t="s">
        <v>113</v>
      </c>
      <c r="N7" s="18" t="s">
        <v>113</v>
      </c>
      <c r="O7" s="18"/>
      <c r="P7" s="19" t="s">
        <v>113</v>
      </c>
      <c r="Q7" s="18" t="s">
        <v>113</v>
      </c>
      <c r="R7" s="20" t="s">
        <v>113</v>
      </c>
      <c r="S7" s="13"/>
      <c r="T7" s="13"/>
      <c r="U7" s="13"/>
      <c r="V7" s="13"/>
      <c r="W7" s="13"/>
      <c r="X7" s="13"/>
      <c r="Y7" s="13"/>
    </row>
    <row r="8" spans="1:25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13"/>
      <c r="T8" s="13"/>
      <c r="U8" s="13"/>
      <c r="V8" s="13"/>
      <c r="W8" s="13"/>
      <c r="X8" s="13"/>
      <c r="Y8" s="13"/>
    </row>
    <row r="9" spans="1:25" x14ac:dyDescent="0.25">
      <c r="A9" s="17" t="s">
        <v>115</v>
      </c>
      <c r="B9" s="18">
        <v>32</v>
      </c>
      <c r="C9" s="19">
        <v>33</v>
      </c>
      <c r="D9" s="18">
        <v>34</v>
      </c>
      <c r="E9" s="18">
        <v>42</v>
      </c>
      <c r="F9" s="19">
        <v>33</v>
      </c>
      <c r="G9" s="18">
        <v>39</v>
      </c>
      <c r="H9" s="19">
        <v>27</v>
      </c>
      <c r="I9" s="19">
        <v>41</v>
      </c>
      <c r="J9" s="18"/>
      <c r="K9" s="18"/>
      <c r="L9" s="18">
        <v>33</v>
      </c>
      <c r="M9" s="18">
        <v>45</v>
      </c>
      <c r="N9" s="18">
        <v>45</v>
      </c>
      <c r="O9" s="18"/>
      <c r="P9" s="19">
        <v>44</v>
      </c>
      <c r="Q9" s="18">
        <v>42</v>
      </c>
      <c r="R9" s="20">
        <v>43</v>
      </c>
      <c r="S9" s="13"/>
      <c r="T9" s="13"/>
      <c r="U9" s="13"/>
      <c r="V9" s="13"/>
      <c r="W9" s="13"/>
      <c r="X9" s="13"/>
      <c r="Y9" s="13"/>
    </row>
    <row r="10" spans="1:25" x14ac:dyDescent="0.25">
      <c r="A10" s="17" t="s">
        <v>108</v>
      </c>
      <c r="B10" s="18" t="s">
        <v>109</v>
      </c>
      <c r="C10" s="19" t="s">
        <v>110</v>
      </c>
      <c r="D10" s="18" t="s">
        <v>112</v>
      </c>
      <c r="E10" s="18" t="s">
        <v>116</v>
      </c>
      <c r="F10" s="19" t="s">
        <v>109</v>
      </c>
      <c r="G10" s="18" t="s">
        <v>111</v>
      </c>
      <c r="H10" s="19" t="s">
        <v>117</v>
      </c>
      <c r="I10" s="19" t="s">
        <v>112</v>
      </c>
      <c r="J10" s="18"/>
      <c r="K10" s="18"/>
      <c r="L10" s="18" t="s">
        <v>109</v>
      </c>
      <c r="M10" s="18" t="s">
        <v>112</v>
      </c>
      <c r="N10" s="18" t="s">
        <v>113</v>
      </c>
      <c r="O10" s="18"/>
      <c r="P10" s="19" t="s">
        <v>111</v>
      </c>
      <c r="Q10" s="18" t="s">
        <v>109</v>
      </c>
      <c r="R10" s="20" t="s">
        <v>118</v>
      </c>
      <c r="S10" s="13"/>
      <c r="T10" s="13"/>
      <c r="U10" s="13"/>
      <c r="V10" s="13"/>
      <c r="W10" s="13"/>
      <c r="X10" s="13"/>
      <c r="Y10" s="13"/>
    </row>
    <row r="11" spans="1:25" x14ac:dyDescent="0.25">
      <c r="A11" s="17" t="s">
        <v>114</v>
      </c>
      <c r="B11" s="18" t="s">
        <v>113</v>
      </c>
      <c r="C11" s="19">
        <v>4</v>
      </c>
      <c r="D11" s="18">
        <v>3</v>
      </c>
      <c r="E11" s="18" t="s">
        <v>113</v>
      </c>
      <c r="F11" s="19" t="s">
        <v>113</v>
      </c>
      <c r="G11" s="18" t="s">
        <v>113</v>
      </c>
      <c r="H11" s="19" t="s">
        <v>119</v>
      </c>
      <c r="I11" s="19">
        <v>0</v>
      </c>
      <c r="J11" s="18"/>
      <c r="K11" s="18"/>
      <c r="L11" s="18" t="s">
        <v>113</v>
      </c>
      <c r="M11" s="18" t="s">
        <v>113</v>
      </c>
      <c r="N11" s="18" t="s">
        <v>113</v>
      </c>
      <c r="O11" s="18"/>
      <c r="P11" s="19" t="s">
        <v>113</v>
      </c>
      <c r="Q11" s="18" t="s">
        <v>120</v>
      </c>
      <c r="R11" s="20" t="s">
        <v>113</v>
      </c>
      <c r="S11" s="13"/>
      <c r="T11" s="13"/>
      <c r="U11" s="13"/>
      <c r="V11" s="13"/>
      <c r="W11" s="13"/>
      <c r="X11" s="13"/>
      <c r="Y11" s="13"/>
    </row>
    <row r="12" spans="1:25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x14ac:dyDescent="0.25">
      <c r="A13" s="15" t="s">
        <v>121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13"/>
      <c r="T13" s="13"/>
      <c r="U13" s="13"/>
      <c r="V13" s="13"/>
      <c r="W13" s="13"/>
      <c r="X13" s="13"/>
      <c r="Y13" s="13"/>
    </row>
    <row r="14" spans="1:25" x14ac:dyDescent="0.25">
      <c r="A14" s="17" t="s">
        <v>107</v>
      </c>
      <c r="B14" s="18">
        <v>34</v>
      </c>
      <c r="C14" s="19">
        <v>28</v>
      </c>
      <c r="D14" s="18">
        <v>26</v>
      </c>
      <c r="E14" s="18">
        <v>38</v>
      </c>
      <c r="F14" s="19">
        <v>28</v>
      </c>
      <c r="G14" s="18">
        <v>34</v>
      </c>
      <c r="H14" s="19">
        <v>36</v>
      </c>
      <c r="I14" s="19">
        <v>30</v>
      </c>
      <c r="J14" s="18"/>
      <c r="K14" s="18"/>
      <c r="L14" s="18">
        <v>35</v>
      </c>
      <c r="M14" s="18">
        <v>40</v>
      </c>
      <c r="N14" s="18">
        <v>35</v>
      </c>
      <c r="O14" s="18"/>
      <c r="P14" s="19">
        <v>40</v>
      </c>
      <c r="Q14" s="18">
        <v>40</v>
      </c>
      <c r="R14" s="20">
        <v>35</v>
      </c>
      <c r="S14" s="13"/>
      <c r="T14" s="13"/>
      <c r="U14" s="13"/>
      <c r="V14" s="13"/>
      <c r="W14" s="13"/>
      <c r="X14" s="13"/>
      <c r="Y14" s="13"/>
    </row>
    <row r="15" spans="1:25" x14ac:dyDescent="0.25">
      <c r="A15" s="17" t="s">
        <v>108</v>
      </c>
      <c r="B15" s="18" t="s">
        <v>111</v>
      </c>
      <c r="C15" s="19" t="s">
        <v>111</v>
      </c>
      <c r="D15" s="18" t="s">
        <v>111</v>
      </c>
      <c r="E15" s="18" t="s">
        <v>111</v>
      </c>
      <c r="F15" s="19" t="s">
        <v>111</v>
      </c>
      <c r="G15" s="18" t="s">
        <v>111</v>
      </c>
      <c r="H15" s="19" t="s">
        <v>111</v>
      </c>
      <c r="I15" s="19" t="s">
        <v>111</v>
      </c>
      <c r="J15" s="18"/>
      <c r="K15" s="18"/>
      <c r="L15" s="18" t="s">
        <v>111</v>
      </c>
      <c r="M15" s="18" t="s">
        <v>111</v>
      </c>
      <c r="N15" s="18" t="s">
        <v>111</v>
      </c>
      <c r="O15" s="18"/>
      <c r="P15" s="19" t="s">
        <v>111</v>
      </c>
      <c r="Q15" s="18" t="s">
        <v>111</v>
      </c>
      <c r="R15" s="20" t="s">
        <v>111</v>
      </c>
      <c r="S15" s="13"/>
      <c r="T15" s="13"/>
      <c r="U15" s="13"/>
      <c r="V15" s="13"/>
      <c r="W15" s="13"/>
      <c r="X15" s="13"/>
      <c r="Y15" s="13"/>
    </row>
    <row r="16" spans="1:25" x14ac:dyDescent="0.25">
      <c r="A16" s="17" t="s">
        <v>114</v>
      </c>
      <c r="B16" s="18" t="s">
        <v>113</v>
      </c>
      <c r="C16" s="19" t="s">
        <v>113</v>
      </c>
      <c r="D16" s="18" t="s">
        <v>113</v>
      </c>
      <c r="E16" s="18" t="s">
        <v>113</v>
      </c>
      <c r="F16" s="19" t="s">
        <v>113</v>
      </c>
      <c r="G16" s="18" t="s">
        <v>113</v>
      </c>
      <c r="H16" s="19" t="s">
        <v>113</v>
      </c>
      <c r="I16" s="19" t="s">
        <v>113</v>
      </c>
      <c r="J16" s="18"/>
      <c r="K16" s="18"/>
      <c r="L16" s="18" t="s">
        <v>113</v>
      </c>
      <c r="M16" s="18" t="s">
        <v>113</v>
      </c>
      <c r="N16" s="18" t="s">
        <v>113</v>
      </c>
      <c r="O16" s="18"/>
      <c r="P16" s="19" t="s">
        <v>113</v>
      </c>
      <c r="Q16" s="18" t="s">
        <v>113</v>
      </c>
      <c r="R16" s="20" t="s">
        <v>113</v>
      </c>
      <c r="S16" s="13"/>
      <c r="T16" s="13"/>
      <c r="U16" s="13"/>
      <c r="V16" s="13"/>
      <c r="W16" s="13"/>
      <c r="X16" s="13"/>
      <c r="Y16" s="13"/>
    </row>
    <row r="17" spans="1:25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13"/>
      <c r="T17" s="13"/>
      <c r="U17" s="13"/>
      <c r="V17" s="13"/>
      <c r="W17" s="13"/>
      <c r="X17" s="13"/>
      <c r="Y17" s="13"/>
    </row>
    <row r="18" spans="1:25" x14ac:dyDescent="0.25">
      <c r="A18" s="17" t="s">
        <v>115</v>
      </c>
      <c r="B18" s="18">
        <v>36</v>
      </c>
      <c r="C18" s="19">
        <v>32</v>
      </c>
      <c r="D18" s="18">
        <v>34</v>
      </c>
      <c r="E18" s="18">
        <v>41</v>
      </c>
      <c r="F18" s="19">
        <v>31</v>
      </c>
      <c r="G18" s="18">
        <v>40</v>
      </c>
      <c r="H18" s="19">
        <v>42</v>
      </c>
      <c r="I18" s="19">
        <v>39</v>
      </c>
      <c r="J18" s="18"/>
      <c r="K18" s="18"/>
      <c r="L18" s="18">
        <v>36</v>
      </c>
      <c r="M18" s="18">
        <v>43</v>
      </c>
      <c r="N18" s="18">
        <v>39</v>
      </c>
      <c r="O18" s="18"/>
      <c r="P18" s="19">
        <v>47</v>
      </c>
      <c r="Q18" s="18">
        <v>41</v>
      </c>
      <c r="R18" s="20">
        <v>42</v>
      </c>
      <c r="S18" s="13"/>
      <c r="T18" s="13"/>
      <c r="U18" s="13"/>
      <c r="V18" s="13"/>
      <c r="W18" s="13"/>
      <c r="X18" s="13"/>
      <c r="Y18" s="13"/>
    </row>
    <row r="19" spans="1:25" x14ac:dyDescent="0.25">
      <c r="A19" s="17" t="s">
        <v>108</v>
      </c>
      <c r="B19" s="18" t="s">
        <v>109</v>
      </c>
      <c r="C19" s="19" t="s">
        <v>111</v>
      </c>
      <c r="D19" s="18" t="s">
        <v>112</v>
      </c>
      <c r="E19" s="18" t="s">
        <v>122</v>
      </c>
      <c r="F19" s="19" t="s">
        <v>109</v>
      </c>
      <c r="G19" s="18" t="s">
        <v>111</v>
      </c>
      <c r="H19" s="19" t="s">
        <v>111</v>
      </c>
      <c r="I19" s="19" t="s">
        <v>112</v>
      </c>
      <c r="J19" s="18"/>
      <c r="K19" s="18"/>
      <c r="L19" s="18" t="s">
        <v>109</v>
      </c>
      <c r="M19" s="18" t="s">
        <v>112</v>
      </c>
      <c r="N19" s="18" t="s">
        <v>109</v>
      </c>
      <c r="O19" s="18"/>
      <c r="P19" s="19" t="s">
        <v>109</v>
      </c>
      <c r="Q19" s="18" t="s">
        <v>109</v>
      </c>
      <c r="R19" s="20" t="s">
        <v>112</v>
      </c>
      <c r="S19" s="13"/>
      <c r="T19" s="13"/>
      <c r="U19" s="13"/>
      <c r="V19" s="13"/>
      <c r="W19" s="13"/>
      <c r="X19" s="13"/>
      <c r="Y19" s="13"/>
    </row>
    <row r="20" spans="1:25" x14ac:dyDescent="0.25">
      <c r="A20" s="17" t="s">
        <v>114</v>
      </c>
      <c r="B20" s="18" t="s">
        <v>113</v>
      </c>
      <c r="C20" s="19" t="s">
        <v>113</v>
      </c>
      <c r="D20" s="18" t="s">
        <v>113</v>
      </c>
      <c r="E20" s="18" t="s">
        <v>113</v>
      </c>
      <c r="F20" s="19" t="s">
        <v>113</v>
      </c>
      <c r="G20" s="18" t="s">
        <v>113</v>
      </c>
      <c r="H20" s="19" t="s">
        <v>113</v>
      </c>
      <c r="I20" s="19" t="s">
        <v>113</v>
      </c>
      <c r="J20" s="18"/>
      <c r="K20" s="18"/>
      <c r="L20" s="18" t="s">
        <v>113</v>
      </c>
      <c r="M20" s="18" t="s">
        <v>113</v>
      </c>
      <c r="N20" s="18" t="s">
        <v>113</v>
      </c>
      <c r="O20" s="18"/>
      <c r="P20" s="19" t="s">
        <v>113</v>
      </c>
      <c r="Q20" s="18" t="s">
        <v>113</v>
      </c>
      <c r="R20" s="20" t="s">
        <v>113</v>
      </c>
      <c r="S20" s="13"/>
      <c r="T20" s="13"/>
      <c r="U20" s="13"/>
      <c r="V20" s="13"/>
      <c r="W20" s="13"/>
      <c r="X20" s="13"/>
      <c r="Y20" s="13"/>
    </row>
    <row r="21" spans="1:25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x14ac:dyDescent="0.25">
      <c r="A22" s="15" t="s">
        <v>123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13"/>
      <c r="T22" s="13"/>
      <c r="U22" s="13"/>
      <c r="V22" s="13"/>
      <c r="W22" s="13"/>
      <c r="X22" s="13"/>
      <c r="Y22" s="13"/>
    </row>
    <row r="23" spans="1:25" x14ac:dyDescent="0.25">
      <c r="A23" s="17" t="s">
        <v>124</v>
      </c>
      <c r="B23" s="18"/>
      <c r="C23" s="22">
        <f>IF(C5&gt;C14,C5-C14,C14-C5)</f>
        <v>3</v>
      </c>
      <c r="D23" s="18"/>
      <c r="E23" s="18"/>
      <c r="F23" s="22">
        <f>IF(F5&gt;F14,F5-F14,F14-F5)</f>
        <v>0</v>
      </c>
      <c r="G23" s="18"/>
      <c r="H23" s="22">
        <f t="shared" ref="H23:I23" si="0">IF(H5&gt;H14,H5-H14,H14-H5)</f>
        <v>9</v>
      </c>
      <c r="I23" s="22">
        <f t="shared" si="0"/>
        <v>2</v>
      </c>
      <c r="J23" s="18"/>
      <c r="K23" s="18"/>
      <c r="L23" s="18"/>
      <c r="M23" s="18"/>
      <c r="N23" s="18"/>
      <c r="O23" s="18"/>
      <c r="P23" s="22">
        <f>IF(P5&gt;P14,P5-P14,P14-P5)</f>
        <v>0</v>
      </c>
      <c r="Q23" s="18"/>
      <c r="R23" s="23">
        <f>IF(R5&gt;R14,R5-R14,R14-R5)</f>
        <v>6</v>
      </c>
      <c r="S23" s="24"/>
      <c r="T23" s="24"/>
      <c r="U23" s="13"/>
      <c r="V23" s="13"/>
      <c r="W23" s="13"/>
      <c r="X23" s="13"/>
      <c r="Y23" s="13"/>
    </row>
    <row r="24" spans="1:25" x14ac:dyDescent="0.25">
      <c r="A24" s="17" t="s">
        <v>125</v>
      </c>
      <c r="B24" s="18"/>
      <c r="C24" s="25">
        <f>IF(C9&gt;C18,C9-C18,C18-C9)</f>
        <v>1</v>
      </c>
      <c r="D24" s="18"/>
      <c r="E24" s="18"/>
      <c r="F24" s="25">
        <f>IF(F9&gt;F18,F9-F18,F18-F9)</f>
        <v>2</v>
      </c>
      <c r="G24" s="18"/>
      <c r="H24" s="25">
        <f t="shared" ref="H24:I24" si="1">IF(H9&gt;H18,H9-H18,H18-H9)</f>
        <v>15</v>
      </c>
      <c r="I24" s="25">
        <f t="shared" si="1"/>
        <v>2</v>
      </c>
      <c r="J24" s="18"/>
      <c r="K24" s="18"/>
      <c r="L24" s="18"/>
      <c r="M24" s="18"/>
      <c r="N24" s="18"/>
      <c r="O24" s="18"/>
      <c r="P24" s="25">
        <f>IF(P9&gt;P18,P9-P18,P18-P9)</f>
        <v>3</v>
      </c>
      <c r="Q24" s="18"/>
      <c r="R24" s="26">
        <f>IF(R9&gt;R18,R9-R18,R18-R9)</f>
        <v>1</v>
      </c>
      <c r="S24" s="27"/>
      <c r="T24" s="27"/>
      <c r="U24" s="13"/>
      <c r="V24" s="13"/>
      <c r="W24" s="13"/>
      <c r="X24" s="13"/>
      <c r="Y24" s="13"/>
    </row>
    <row r="25" spans="1:25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x14ac:dyDescent="0.25">
      <c r="A27" s="14" t="s">
        <v>126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x14ac:dyDescent="0.25">
      <c r="A28" s="15" t="s">
        <v>104</v>
      </c>
      <c r="B28" s="16" t="s">
        <v>105</v>
      </c>
      <c r="C28" s="16" t="s">
        <v>70</v>
      </c>
      <c r="D28" s="16" t="s">
        <v>71</v>
      </c>
      <c r="E28" s="16" t="s">
        <v>72</v>
      </c>
      <c r="F28" s="16" t="s">
        <v>73</v>
      </c>
      <c r="G28" s="16" t="s">
        <v>74</v>
      </c>
      <c r="H28" s="16" t="s">
        <v>75</v>
      </c>
      <c r="I28" s="16" t="s">
        <v>76</v>
      </c>
      <c r="J28" s="16" t="s">
        <v>77</v>
      </c>
      <c r="K28" s="16" t="s">
        <v>78</v>
      </c>
      <c r="L28" s="16" t="s">
        <v>79</v>
      </c>
      <c r="M28" s="16" t="s">
        <v>84</v>
      </c>
      <c r="N28" s="16" t="s">
        <v>85</v>
      </c>
      <c r="O28" s="16" t="s">
        <v>80</v>
      </c>
      <c r="P28" s="16" t="s">
        <v>81</v>
      </c>
      <c r="Q28" s="16" t="s">
        <v>82</v>
      </c>
      <c r="R28" s="16" t="s">
        <v>106</v>
      </c>
      <c r="S28" s="13"/>
      <c r="T28" s="13"/>
      <c r="U28" s="13"/>
      <c r="V28" s="13"/>
      <c r="W28" s="13"/>
      <c r="X28" s="13"/>
      <c r="Y28" s="13"/>
    </row>
    <row r="29" spans="1:25" x14ac:dyDescent="0.25">
      <c r="A29" s="17" t="s">
        <v>127</v>
      </c>
      <c r="B29" s="19">
        <v>60</v>
      </c>
      <c r="C29" s="19">
        <v>25</v>
      </c>
      <c r="D29" s="19">
        <v>60</v>
      </c>
      <c r="E29" s="19">
        <v>40</v>
      </c>
      <c r="F29" s="19">
        <v>30</v>
      </c>
      <c r="G29" s="19">
        <v>60</v>
      </c>
      <c r="H29" s="19">
        <v>30</v>
      </c>
      <c r="I29" s="19">
        <v>22</v>
      </c>
      <c r="J29" s="19">
        <v>60</v>
      </c>
      <c r="K29" s="19">
        <v>30</v>
      </c>
      <c r="L29" s="19">
        <v>60</v>
      </c>
      <c r="M29" s="19">
        <v>60</v>
      </c>
      <c r="N29" s="19">
        <v>20</v>
      </c>
      <c r="O29" s="19">
        <v>30</v>
      </c>
      <c r="P29" s="19">
        <v>60</v>
      </c>
      <c r="Q29" s="19">
        <v>60</v>
      </c>
      <c r="R29" s="19">
        <v>60</v>
      </c>
      <c r="S29" s="13"/>
      <c r="T29" s="13"/>
      <c r="U29" s="13"/>
      <c r="V29" s="13"/>
      <c r="W29" s="13"/>
      <c r="X29" s="13"/>
      <c r="Y29" s="13"/>
    </row>
    <row r="30" spans="1:25" x14ac:dyDescent="0.25">
      <c r="A30" s="28" t="s">
        <v>128</v>
      </c>
      <c r="B30" s="19" t="s">
        <v>129</v>
      </c>
      <c r="C30" s="19" t="s">
        <v>130</v>
      </c>
      <c r="D30" s="19" t="s">
        <v>131</v>
      </c>
      <c r="E30" s="19" t="s">
        <v>132</v>
      </c>
      <c r="F30" s="19" t="s">
        <v>133</v>
      </c>
      <c r="G30" s="19" t="s">
        <v>129</v>
      </c>
      <c r="H30" s="19" t="s">
        <v>112</v>
      </c>
      <c r="I30" s="19" t="s">
        <v>132</v>
      </c>
      <c r="J30" s="19" t="s">
        <v>129</v>
      </c>
      <c r="K30" s="19" t="s">
        <v>133</v>
      </c>
      <c r="L30" s="19" t="s">
        <v>129</v>
      </c>
      <c r="M30" s="19" t="s">
        <v>129</v>
      </c>
      <c r="N30" s="19" t="s">
        <v>134</v>
      </c>
      <c r="O30" s="19" t="s">
        <v>133</v>
      </c>
      <c r="P30" s="19" t="s">
        <v>129</v>
      </c>
      <c r="Q30" s="19" t="s">
        <v>129</v>
      </c>
      <c r="R30" s="19" t="s">
        <v>129</v>
      </c>
      <c r="S30" s="13"/>
      <c r="T30" s="13"/>
      <c r="U30" s="13"/>
      <c r="V30" s="13"/>
      <c r="W30" s="13"/>
      <c r="X30" s="13"/>
      <c r="Y30" s="13"/>
    </row>
    <row r="31" spans="1:25" x14ac:dyDescent="0.25">
      <c r="A31" s="28" t="s">
        <v>135</v>
      </c>
      <c r="B31" s="19" t="s">
        <v>113</v>
      </c>
      <c r="C31" s="19" t="s">
        <v>113</v>
      </c>
      <c r="D31" s="19" t="s">
        <v>113</v>
      </c>
      <c r="E31" s="19" t="s">
        <v>113</v>
      </c>
      <c r="F31" s="19" t="s">
        <v>113</v>
      </c>
      <c r="G31" s="19">
        <v>0</v>
      </c>
      <c r="H31" s="19">
        <v>3</v>
      </c>
      <c r="I31" s="19"/>
      <c r="J31" s="19">
        <v>0</v>
      </c>
      <c r="K31" s="19" t="s">
        <v>113</v>
      </c>
      <c r="L31" s="19">
        <v>0</v>
      </c>
      <c r="M31" s="19">
        <v>0</v>
      </c>
      <c r="N31" s="19">
        <v>4</v>
      </c>
      <c r="O31" s="19"/>
      <c r="P31" s="19" t="s">
        <v>113</v>
      </c>
      <c r="Q31" s="19" t="s">
        <v>113</v>
      </c>
      <c r="R31" s="19" t="s">
        <v>113</v>
      </c>
      <c r="S31" s="13"/>
      <c r="T31" s="13"/>
      <c r="U31" s="13"/>
      <c r="V31" s="13"/>
      <c r="W31" s="13"/>
      <c r="X31" s="13"/>
      <c r="Y31" s="13"/>
    </row>
    <row r="32" spans="1:25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x14ac:dyDescent="0.25">
      <c r="A33" s="15" t="s">
        <v>121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13"/>
      <c r="T33" s="13"/>
      <c r="U33" s="13"/>
      <c r="V33" s="13"/>
      <c r="W33" s="13"/>
      <c r="X33" s="13"/>
      <c r="Y33" s="13"/>
    </row>
    <row r="34" spans="1:25" x14ac:dyDescent="0.25">
      <c r="A34" s="17" t="s">
        <v>127</v>
      </c>
      <c r="B34" s="19">
        <v>60</v>
      </c>
      <c r="C34" s="19">
        <v>25</v>
      </c>
      <c r="D34" s="19">
        <v>60</v>
      </c>
      <c r="E34" s="19">
        <v>40</v>
      </c>
      <c r="F34" s="19">
        <v>30</v>
      </c>
      <c r="G34" s="19">
        <v>60</v>
      </c>
      <c r="H34" s="19">
        <v>40</v>
      </c>
      <c r="I34" s="19">
        <v>30</v>
      </c>
      <c r="J34" s="19">
        <v>60</v>
      </c>
      <c r="K34" s="19">
        <v>25</v>
      </c>
      <c r="L34" s="19">
        <v>60</v>
      </c>
      <c r="M34" s="19">
        <v>60</v>
      </c>
      <c r="N34" s="19">
        <v>20</v>
      </c>
      <c r="O34" s="19">
        <v>30</v>
      </c>
      <c r="P34" s="19">
        <v>60</v>
      </c>
      <c r="Q34" s="19">
        <v>60</v>
      </c>
      <c r="R34" s="19">
        <v>32</v>
      </c>
      <c r="S34" s="13"/>
      <c r="T34" s="13"/>
      <c r="U34" s="13"/>
      <c r="V34" s="13"/>
      <c r="W34" s="13"/>
      <c r="X34" s="13"/>
      <c r="Y34" s="13"/>
    </row>
    <row r="35" spans="1:25" x14ac:dyDescent="0.25">
      <c r="A35" s="28" t="s">
        <v>136</v>
      </c>
      <c r="B35" s="19" t="s">
        <v>129</v>
      </c>
      <c r="C35" s="19" t="s">
        <v>137</v>
      </c>
      <c r="D35" s="19" t="s">
        <v>131</v>
      </c>
      <c r="E35" s="19" t="s">
        <v>132</v>
      </c>
      <c r="F35" s="19" t="s">
        <v>133</v>
      </c>
      <c r="G35" s="19" t="s">
        <v>129</v>
      </c>
      <c r="H35" s="19" t="s">
        <v>132</v>
      </c>
      <c r="I35" s="19" t="s">
        <v>132</v>
      </c>
      <c r="J35" s="19" t="s">
        <v>129</v>
      </c>
      <c r="K35" s="19" t="s">
        <v>138</v>
      </c>
      <c r="L35" s="19" t="s">
        <v>129</v>
      </c>
      <c r="M35" s="19" t="s">
        <v>129</v>
      </c>
      <c r="N35" s="19" t="s">
        <v>134</v>
      </c>
      <c r="O35" s="19" t="s">
        <v>133</v>
      </c>
      <c r="P35" s="19" t="s">
        <v>129</v>
      </c>
      <c r="Q35" s="19" t="s">
        <v>129</v>
      </c>
      <c r="R35" s="19" t="s">
        <v>132</v>
      </c>
      <c r="S35" s="13"/>
      <c r="T35" s="13"/>
      <c r="U35" s="13"/>
      <c r="V35" s="13"/>
      <c r="W35" s="13"/>
      <c r="X35" s="13"/>
      <c r="Y35" s="13"/>
    </row>
    <row r="36" spans="1:25" x14ac:dyDescent="0.25">
      <c r="A36" s="28" t="s">
        <v>135</v>
      </c>
      <c r="B36" s="19" t="s">
        <v>113</v>
      </c>
      <c r="C36" s="19" t="s">
        <v>113</v>
      </c>
      <c r="D36" s="19" t="s">
        <v>113</v>
      </c>
      <c r="E36" s="19" t="s">
        <v>113</v>
      </c>
      <c r="F36" s="19" t="s">
        <v>113</v>
      </c>
      <c r="G36" s="19">
        <v>0</v>
      </c>
      <c r="H36" s="19" t="s">
        <v>113</v>
      </c>
      <c r="I36" s="19" t="s">
        <v>113</v>
      </c>
      <c r="J36" s="19">
        <v>0</v>
      </c>
      <c r="K36" s="19">
        <v>4</v>
      </c>
      <c r="L36" s="19" t="s">
        <v>113</v>
      </c>
      <c r="M36" s="19">
        <v>0</v>
      </c>
      <c r="N36" s="19">
        <v>2</v>
      </c>
      <c r="O36" s="19"/>
      <c r="P36" s="19" t="s">
        <v>113</v>
      </c>
      <c r="Q36" s="19" t="s">
        <v>113</v>
      </c>
      <c r="R36" s="19" t="s">
        <v>113</v>
      </c>
      <c r="S36" s="13"/>
      <c r="T36" s="13"/>
      <c r="U36" s="13"/>
      <c r="V36" s="13"/>
      <c r="W36" s="13"/>
      <c r="X36" s="13"/>
      <c r="Y36" s="13"/>
    </row>
    <row r="37" spans="1:25" x14ac:dyDescent="0.25">
      <c r="A37" s="13" t="s">
        <v>139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x14ac:dyDescent="0.25">
      <c r="A39" s="15" t="s">
        <v>123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13"/>
      <c r="T39" s="13"/>
      <c r="U39" s="13"/>
      <c r="V39" s="13"/>
      <c r="W39" s="13"/>
      <c r="X39" s="13"/>
      <c r="Y39" s="13"/>
    </row>
    <row r="40" spans="1:25" x14ac:dyDescent="0.25">
      <c r="A40" s="17" t="s">
        <v>140</v>
      </c>
      <c r="B40" s="22">
        <f t="shared" ref="B40:R40" si="2">IF(B29&gt;B34,B29-B34,B34-B29)</f>
        <v>0</v>
      </c>
      <c r="C40" s="22">
        <f t="shared" si="2"/>
        <v>0</v>
      </c>
      <c r="D40" s="22">
        <f t="shared" si="2"/>
        <v>0</v>
      </c>
      <c r="E40" s="22">
        <f t="shared" si="2"/>
        <v>0</v>
      </c>
      <c r="F40" s="22">
        <f t="shared" si="2"/>
        <v>0</v>
      </c>
      <c r="G40" s="22">
        <f t="shared" si="2"/>
        <v>0</v>
      </c>
      <c r="H40" s="22">
        <f t="shared" si="2"/>
        <v>10</v>
      </c>
      <c r="I40" s="22">
        <f t="shared" si="2"/>
        <v>8</v>
      </c>
      <c r="J40" s="22">
        <f t="shared" si="2"/>
        <v>0</v>
      </c>
      <c r="K40" s="22">
        <f t="shared" si="2"/>
        <v>5</v>
      </c>
      <c r="L40" s="22">
        <f t="shared" si="2"/>
        <v>0</v>
      </c>
      <c r="M40" s="22">
        <f t="shared" si="2"/>
        <v>0</v>
      </c>
      <c r="N40" s="22">
        <f t="shared" si="2"/>
        <v>0</v>
      </c>
      <c r="O40" s="22">
        <f t="shared" si="2"/>
        <v>0</v>
      </c>
      <c r="P40" s="22">
        <f t="shared" si="2"/>
        <v>0</v>
      </c>
      <c r="Q40" s="22">
        <f t="shared" si="2"/>
        <v>0</v>
      </c>
      <c r="R40" s="22">
        <f t="shared" si="2"/>
        <v>28</v>
      </c>
      <c r="S40" s="13"/>
      <c r="T40" s="13"/>
      <c r="U40" s="13"/>
      <c r="V40" s="13"/>
      <c r="W40" s="13"/>
      <c r="X40" s="13"/>
      <c r="Y40" s="13"/>
    </row>
    <row r="41" spans="1:25" x14ac:dyDescent="0.25">
      <c r="A41" s="17" t="s">
        <v>141</v>
      </c>
      <c r="B41" s="29">
        <f t="shared" ref="B41:R41" si="3">IF(B29&lt;B34,B29/B34,B34/B29)</f>
        <v>1</v>
      </c>
      <c r="C41" s="29">
        <f t="shared" si="3"/>
        <v>1</v>
      </c>
      <c r="D41" s="29">
        <f t="shared" si="3"/>
        <v>1</v>
      </c>
      <c r="E41" s="29">
        <f t="shared" si="3"/>
        <v>1</v>
      </c>
      <c r="F41" s="29">
        <f t="shared" si="3"/>
        <v>1</v>
      </c>
      <c r="G41" s="29">
        <f t="shared" si="3"/>
        <v>1</v>
      </c>
      <c r="H41" s="29">
        <f t="shared" si="3"/>
        <v>0.75</v>
      </c>
      <c r="I41" s="29">
        <f t="shared" si="3"/>
        <v>0.73333333333333328</v>
      </c>
      <c r="J41" s="29">
        <f t="shared" si="3"/>
        <v>1</v>
      </c>
      <c r="K41" s="29">
        <f t="shared" si="3"/>
        <v>0.83333333333333337</v>
      </c>
      <c r="L41" s="29">
        <f t="shared" si="3"/>
        <v>1</v>
      </c>
      <c r="M41" s="29">
        <f t="shared" si="3"/>
        <v>1</v>
      </c>
      <c r="N41" s="29">
        <f t="shared" si="3"/>
        <v>1</v>
      </c>
      <c r="O41" s="29">
        <f t="shared" si="3"/>
        <v>1</v>
      </c>
      <c r="P41" s="29">
        <f t="shared" si="3"/>
        <v>1</v>
      </c>
      <c r="Q41" s="29">
        <f t="shared" si="3"/>
        <v>1</v>
      </c>
      <c r="R41" s="29">
        <f t="shared" si="3"/>
        <v>0.53333333333333333</v>
      </c>
      <c r="S41" s="13"/>
      <c r="T41" s="13"/>
      <c r="U41" s="13"/>
      <c r="V41" s="13"/>
      <c r="W41" s="13"/>
      <c r="X41" s="13"/>
      <c r="Y41" s="13"/>
    </row>
    <row r="42" spans="1:25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x14ac:dyDescent="0.25">
      <c r="A44" s="14" t="s">
        <v>142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x14ac:dyDescent="0.25">
      <c r="A45" s="30" t="s">
        <v>104</v>
      </c>
      <c r="B45" s="16" t="s">
        <v>105</v>
      </c>
      <c r="C45" s="16" t="s">
        <v>70</v>
      </c>
      <c r="D45" s="16" t="s">
        <v>71</v>
      </c>
      <c r="E45" s="16" t="s">
        <v>72</v>
      </c>
      <c r="F45" s="16" t="s">
        <v>73</v>
      </c>
      <c r="G45" s="16" t="s">
        <v>74</v>
      </c>
      <c r="H45" s="16" t="s">
        <v>75</v>
      </c>
      <c r="I45" s="16" t="s">
        <v>76</v>
      </c>
      <c r="J45" s="16" t="s">
        <v>77</v>
      </c>
      <c r="K45" s="16" t="s">
        <v>78</v>
      </c>
      <c r="L45" s="16" t="s">
        <v>79</v>
      </c>
      <c r="M45" s="16" t="s">
        <v>84</v>
      </c>
      <c r="N45" s="16" t="s">
        <v>85</v>
      </c>
      <c r="O45" s="16" t="s">
        <v>80</v>
      </c>
      <c r="P45" s="16" t="s">
        <v>81</v>
      </c>
      <c r="Q45" s="16" t="s">
        <v>82</v>
      </c>
      <c r="R45" s="16" t="s">
        <v>106</v>
      </c>
      <c r="S45" s="13"/>
      <c r="T45" s="13"/>
      <c r="U45" s="13"/>
      <c r="V45" s="13"/>
      <c r="W45" s="13"/>
      <c r="X45" s="13"/>
      <c r="Y45" s="13"/>
    </row>
    <row r="46" spans="1:25" x14ac:dyDescent="0.25">
      <c r="A46" s="31" t="s">
        <v>143</v>
      </c>
      <c r="B46" s="32" t="s">
        <v>144</v>
      </c>
      <c r="C46" s="20">
        <v>108</v>
      </c>
      <c r="D46" s="32" t="s">
        <v>144</v>
      </c>
      <c r="E46" s="32" t="s">
        <v>144</v>
      </c>
      <c r="F46" s="20">
        <v>101</v>
      </c>
      <c r="G46" s="32" t="s">
        <v>144</v>
      </c>
      <c r="H46" s="20">
        <v>119</v>
      </c>
      <c r="I46" s="20">
        <v>127</v>
      </c>
      <c r="J46" s="32" t="s">
        <v>144</v>
      </c>
      <c r="K46" s="32" t="s">
        <v>144</v>
      </c>
      <c r="L46" s="32" t="s">
        <v>144</v>
      </c>
      <c r="M46" s="32" t="s">
        <v>144</v>
      </c>
      <c r="N46" s="32" t="s">
        <v>144</v>
      </c>
      <c r="O46" s="32" t="s">
        <v>144</v>
      </c>
      <c r="P46" s="20">
        <v>93</v>
      </c>
      <c r="Q46" s="32" t="s">
        <v>144</v>
      </c>
      <c r="R46" s="20">
        <v>135</v>
      </c>
      <c r="S46" s="13"/>
      <c r="T46" s="13"/>
      <c r="U46" s="13"/>
      <c r="V46" s="13"/>
      <c r="W46" s="13"/>
      <c r="X46" s="13"/>
      <c r="Y46" s="13"/>
    </row>
    <row r="47" spans="1:25" x14ac:dyDescent="0.25">
      <c r="A47" s="31" t="s">
        <v>145</v>
      </c>
      <c r="B47" s="32"/>
      <c r="C47" s="20">
        <v>78</v>
      </c>
      <c r="D47" s="32"/>
      <c r="E47" s="32"/>
      <c r="F47" s="20">
        <v>76</v>
      </c>
      <c r="G47" s="32"/>
      <c r="H47" s="20">
        <v>55</v>
      </c>
      <c r="I47" s="20">
        <v>74</v>
      </c>
      <c r="J47" s="32"/>
      <c r="K47" s="32"/>
      <c r="L47" s="32"/>
      <c r="M47" s="32"/>
      <c r="N47" s="32"/>
      <c r="O47" s="32"/>
      <c r="P47" s="20">
        <v>72</v>
      </c>
      <c r="Q47" s="32"/>
      <c r="R47" s="20">
        <v>62</v>
      </c>
      <c r="S47" s="13"/>
      <c r="T47" s="13"/>
      <c r="U47" s="13"/>
      <c r="V47" s="13"/>
      <c r="W47" s="13"/>
      <c r="X47" s="13"/>
      <c r="Y47" s="13"/>
    </row>
    <row r="48" spans="1:25" x14ac:dyDescent="0.25">
      <c r="A48" s="31" t="s">
        <v>114</v>
      </c>
      <c r="B48" s="32"/>
      <c r="C48" s="20">
        <v>0</v>
      </c>
      <c r="D48" s="32"/>
      <c r="E48" s="32"/>
      <c r="F48" s="20">
        <v>0</v>
      </c>
      <c r="G48" s="32"/>
      <c r="H48" s="20">
        <v>0</v>
      </c>
      <c r="I48" s="20">
        <v>0</v>
      </c>
      <c r="J48" s="32"/>
      <c r="K48" s="32"/>
      <c r="L48" s="32"/>
      <c r="M48" s="32"/>
      <c r="N48" s="32"/>
      <c r="O48" s="32"/>
      <c r="P48" s="33" t="s">
        <v>146</v>
      </c>
      <c r="Q48" s="32"/>
      <c r="R48" s="20">
        <v>0</v>
      </c>
      <c r="S48" s="13"/>
      <c r="T48" s="13"/>
      <c r="U48" s="13"/>
      <c r="V48" s="13"/>
      <c r="W48" s="13"/>
      <c r="X48" s="13"/>
      <c r="Y48" s="13"/>
    </row>
    <row r="49" spans="1:25" x14ac:dyDescent="0.25">
      <c r="A49" s="31" t="s">
        <v>147</v>
      </c>
      <c r="B49" s="32"/>
      <c r="C49" s="20">
        <v>198</v>
      </c>
      <c r="D49" s="32"/>
      <c r="E49" s="32"/>
      <c r="F49" s="20">
        <f>F46+F47</f>
        <v>177</v>
      </c>
      <c r="G49" s="32"/>
      <c r="H49" s="20">
        <v>174</v>
      </c>
      <c r="I49" s="20">
        <v>201</v>
      </c>
      <c r="J49" s="32"/>
      <c r="K49" s="32"/>
      <c r="L49" s="32"/>
      <c r="M49" s="32"/>
      <c r="N49" s="32"/>
      <c r="O49" s="32"/>
      <c r="P49" s="20">
        <v>165</v>
      </c>
      <c r="Q49" s="32"/>
      <c r="R49" s="20">
        <v>197</v>
      </c>
      <c r="S49" s="13"/>
      <c r="T49" s="13"/>
      <c r="U49" s="13"/>
      <c r="V49" s="13"/>
      <c r="W49" s="13"/>
      <c r="X49" s="13"/>
      <c r="Y49" s="13"/>
    </row>
    <row r="50" spans="1:25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x14ac:dyDescent="0.25">
      <c r="A52" s="30" t="s">
        <v>121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x14ac:dyDescent="0.25">
      <c r="A53" s="31" t="s">
        <v>143</v>
      </c>
      <c r="B53" s="32"/>
      <c r="C53" s="20">
        <v>113</v>
      </c>
      <c r="D53" s="32"/>
      <c r="E53" s="32"/>
      <c r="F53" s="20">
        <v>107</v>
      </c>
      <c r="G53" s="32"/>
      <c r="H53" s="20">
        <v>114</v>
      </c>
      <c r="I53" s="20">
        <v>117</v>
      </c>
      <c r="J53" s="32"/>
      <c r="K53" s="32"/>
      <c r="L53" s="32"/>
      <c r="M53" s="32"/>
      <c r="N53" s="32"/>
      <c r="O53" s="32"/>
      <c r="P53" s="20">
        <v>87</v>
      </c>
      <c r="Q53" s="32"/>
      <c r="R53" s="20">
        <v>119</v>
      </c>
      <c r="S53" s="13"/>
      <c r="T53" s="13"/>
      <c r="U53" s="13"/>
      <c r="V53" s="13"/>
      <c r="W53" s="13"/>
      <c r="X53" s="13"/>
      <c r="Y53" s="13"/>
    </row>
    <row r="54" spans="1:25" x14ac:dyDescent="0.25">
      <c r="A54" s="31" t="s">
        <v>145</v>
      </c>
      <c r="B54" s="32"/>
      <c r="C54" s="20">
        <v>69</v>
      </c>
      <c r="D54" s="32"/>
      <c r="E54" s="32"/>
      <c r="F54" s="20">
        <v>72</v>
      </c>
      <c r="G54" s="32"/>
      <c r="H54" s="20">
        <v>72</v>
      </c>
      <c r="I54" s="20">
        <v>80</v>
      </c>
      <c r="J54" s="32"/>
      <c r="K54" s="32"/>
      <c r="L54" s="32"/>
      <c r="M54" s="32"/>
      <c r="N54" s="32"/>
      <c r="O54" s="32"/>
      <c r="P54" s="20">
        <v>92</v>
      </c>
      <c r="Q54" s="32"/>
      <c r="R54" s="20">
        <v>72</v>
      </c>
      <c r="S54" s="13"/>
      <c r="T54" s="13"/>
      <c r="U54" s="13"/>
      <c r="V54" s="13"/>
      <c r="W54" s="13"/>
      <c r="X54" s="13"/>
      <c r="Y54" s="13"/>
    </row>
    <row r="55" spans="1:25" x14ac:dyDescent="0.25">
      <c r="A55" s="31" t="s">
        <v>114</v>
      </c>
      <c r="B55" s="32"/>
      <c r="C55" s="20">
        <v>0</v>
      </c>
      <c r="D55" s="32"/>
      <c r="E55" s="32"/>
      <c r="F55" s="20">
        <v>0</v>
      </c>
      <c r="G55" s="32"/>
      <c r="H55" s="20">
        <v>0</v>
      </c>
      <c r="I55" s="20">
        <v>0</v>
      </c>
      <c r="J55" s="32"/>
      <c r="K55" s="32"/>
      <c r="L55" s="32"/>
      <c r="M55" s="32"/>
      <c r="N55" s="32"/>
      <c r="O55" s="32"/>
      <c r="P55" s="20">
        <v>0</v>
      </c>
      <c r="Q55" s="32"/>
      <c r="R55" s="33" t="s">
        <v>148</v>
      </c>
      <c r="S55" s="13"/>
      <c r="T55" s="13"/>
      <c r="U55" s="13"/>
      <c r="V55" s="13"/>
      <c r="W55" s="13"/>
      <c r="X55" s="13"/>
      <c r="Y55" s="13"/>
    </row>
    <row r="56" spans="1:25" x14ac:dyDescent="0.25">
      <c r="A56" s="31" t="s">
        <v>147</v>
      </c>
      <c r="B56" s="32"/>
      <c r="C56" s="20">
        <v>199</v>
      </c>
      <c r="D56" s="32"/>
      <c r="E56" s="32"/>
      <c r="F56" s="20">
        <f>F53+F54</f>
        <v>179</v>
      </c>
      <c r="G56" s="32"/>
      <c r="H56" s="20">
        <v>186</v>
      </c>
      <c r="I56" s="20">
        <v>197</v>
      </c>
      <c r="J56" s="32"/>
      <c r="K56" s="32"/>
      <c r="L56" s="32"/>
      <c r="M56" s="32"/>
      <c r="N56" s="32"/>
      <c r="O56" s="32"/>
      <c r="P56" s="20">
        <v>179</v>
      </c>
      <c r="Q56" s="32"/>
      <c r="R56" s="20">
        <v>191</v>
      </c>
      <c r="S56" s="13"/>
      <c r="T56" s="13"/>
      <c r="U56" s="13"/>
      <c r="V56" s="13"/>
      <c r="W56" s="13"/>
      <c r="X56" s="13"/>
      <c r="Y56" s="13"/>
    </row>
    <row r="57" spans="1:25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x14ac:dyDescent="0.25">
      <c r="A60" s="14" t="s">
        <v>149</v>
      </c>
      <c r="B60" s="16" t="s">
        <v>105</v>
      </c>
      <c r="C60" s="16" t="s">
        <v>70</v>
      </c>
      <c r="D60" s="16" t="s">
        <v>71</v>
      </c>
      <c r="E60" s="16" t="s">
        <v>72</v>
      </c>
      <c r="F60" s="16" t="s">
        <v>73</v>
      </c>
      <c r="G60" s="16" t="s">
        <v>74</v>
      </c>
      <c r="H60" s="16" t="s">
        <v>75</v>
      </c>
      <c r="I60" s="16" t="s">
        <v>76</v>
      </c>
      <c r="J60" s="16" t="s">
        <v>77</v>
      </c>
      <c r="K60" s="16" t="s">
        <v>78</v>
      </c>
      <c r="L60" s="16" t="s">
        <v>79</v>
      </c>
      <c r="M60" s="16" t="s">
        <v>84</v>
      </c>
      <c r="N60" s="16" t="s">
        <v>85</v>
      </c>
      <c r="O60" s="16" t="s">
        <v>80</v>
      </c>
      <c r="P60" s="16" t="s">
        <v>81</v>
      </c>
      <c r="Q60" s="16" t="s">
        <v>82</v>
      </c>
      <c r="R60" s="16" t="s">
        <v>106</v>
      </c>
      <c r="S60" s="13"/>
      <c r="T60" s="13"/>
      <c r="U60" s="13"/>
      <c r="V60" s="13"/>
      <c r="W60" s="13"/>
      <c r="X60" s="13"/>
      <c r="Y60" s="13"/>
    </row>
    <row r="61" spans="1:25" x14ac:dyDescent="0.25">
      <c r="A61" s="17" t="s">
        <v>150</v>
      </c>
      <c r="B61" s="19">
        <v>349.1</v>
      </c>
      <c r="C61" s="19">
        <v>192.8</v>
      </c>
      <c r="D61" s="19">
        <v>364.9</v>
      </c>
      <c r="E61" s="19">
        <v>324.5</v>
      </c>
      <c r="F61" s="19">
        <v>380.5</v>
      </c>
      <c r="G61" s="19">
        <v>236.2</v>
      </c>
      <c r="H61" s="19">
        <v>193.5</v>
      </c>
      <c r="I61" s="19">
        <v>182.1</v>
      </c>
      <c r="J61" s="19">
        <v>241</v>
      </c>
      <c r="K61" s="19">
        <v>198</v>
      </c>
      <c r="L61" s="19">
        <v>421</v>
      </c>
      <c r="M61" s="19">
        <v>314.39999999999998</v>
      </c>
      <c r="N61" s="19">
        <v>508.4</v>
      </c>
      <c r="O61" s="19">
        <v>224.4</v>
      </c>
      <c r="P61" s="19">
        <v>414.1</v>
      </c>
      <c r="Q61" s="19">
        <v>291.60000000000002</v>
      </c>
      <c r="R61" s="19">
        <v>331</v>
      </c>
      <c r="S61" s="13"/>
      <c r="T61" s="13"/>
      <c r="U61" s="13"/>
      <c r="V61" s="13"/>
      <c r="W61" s="13"/>
      <c r="X61" s="13"/>
      <c r="Y61" s="13"/>
    </row>
    <row r="62" spans="1:25" x14ac:dyDescent="0.25">
      <c r="A62" s="28" t="s">
        <v>135</v>
      </c>
      <c r="B62" s="19">
        <v>0</v>
      </c>
      <c r="C62" s="19">
        <v>0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4</v>
      </c>
      <c r="R62" s="19">
        <v>0</v>
      </c>
      <c r="S62" s="13"/>
      <c r="T62" s="13"/>
      <c r="U62" s="13"/>
      <c r="V62" s="13"/>
      <c r="W62" s="13"/>
      <c r="X62" s="13"/>
      <c r="Y62" s="13"/>
    </row>
    <row r="63" spans="1:25" x14ac:dyDescent="0.25">
      <c r="A63" s="20" t="s">
        <v>151</v>
      </c>
      <c r="B63" s="20">
        <v>146</v>
      </c>
      <c r="C63" s="20">
        <v>122</v>
      </c>
      <c r="D63" s="20">
        <v>188</v>
      </c>
      <c r="E63" s="20">
        <v>155</v>
      </c>
      <c r="F63" s="20">
        <v>149</v>
      </c>
      <c r="G63" s="20">
        <v>130</v>
      </c>
      <c r="H63" s="20">
        <v>127.6</v>
      </c>
      <c r="I63" s="20"/>
      <c r="J63" s="20">
        <v>126</v>
      </c>
      <c r="K63" s="20">
        <v>125</v>
      </c>
      <c r="L63" s="20">
        <v>150</v>
      </c>
      <c r="M63" s="20"/>
      <c r="N63" s="20">
        <v>161</v>
      </c>
      <c r="O63" s="20">
        <v>145</v>
      </c>
      <c r="P63" s="20">
        <v>140</v>
      </c>
      <c r="Q63" s="20">
        <v>164</v>
      </c>
      <c r="R63" s="20">
        <v>135</v>
      </c>
      <c r="S63" s="13"/>
      <c r="T63" s="13"/>
      <c r="U63" s="13"/>
      <c r="V63" s="13"/>
      <c r="W63" s="13"/>
      <c r="X63" s="13"/>
      <c r="Y63" s="13"/>
    </row>
    <row r="64" spans="1:25" x14ac:dyDescent="0.25">
      <c r="A64" s="20" t="s">
        <v>152</v>
      </c>
      <c r="B64" s="20">
        <f t="shared" ref="B64:R64" si="4">2.5*B63</f>
        <v>365</v>
      </c>
      <c r="C64" s="20">
        <f t="shared" si="4"/>
        <v>305</v>
      </c>
      <c r="D64" s="20">
        <f t="shared" si="4"/>
        <v>470</v>
      </c>
      <c r="E64" s="20">
        <f t="shared" si="4"/>
        <v>387.5</v>
      </c>
      <c r="F64" s="20">
        <f t="shared" si="4"/>
        <v>372.5</v>
      </c>
      <c r="G64" s="20">
        <f t="shared" si="4"/>
        <v>325</v>
      </c>
      <c r="H64" s="20">
        <f t="shared" si="4"/>
        <v>319</v>
      </c>
      <c r="I64" s="20">
        <f t="shared" si="4"/>
        <v>0</v>
      </c>
      <c r="J64" s="20">
        <f t="shared" si="4"/>
        <v>315</v>
      </c>
      <c r="K64" s="20">
        <f t="shared" si="4"/>
        <v>312.5</v>
      </c>
      <c r="L64" s="20">
        <f t="shared" si="4"/>
        <v>375</v>
      </c>
      <c r="M64" s="20">
        <f t="shared" si="4"/>
        <v>0</v>
      </c>
      <c r="N64" s="20">
        <f t="shared" si="4"/>
        <v>402.5</v>
      </c>
      <c r="O64" s="20">
        <f t="shared" si="4"/>
        <v>362.5</v>
      </c>
      <c r="P64" s="20">
        <f t="shared" si="4"/>
        <v>350</v>
      </c>
      <c r="Q64" s="20">
        <f t="shared" si="4"/>
        <v>410</v>
      </c>
      <c r="R64" s="20">
        <f t="shared" si="4"/>
        <v>337.5</v>
      </c>
      <c r="S64" s="13"/>
      <c r="T64" s="13"/>
      <c r="U64" s="13"/>
      <c r="V64" s="13"/>
      <c r="W64" s="13"/>
      <c r="X64" s="13"/>
      <c r="Y64" s="13"/>
    </row>
    <row r="65" spans="1:25" x14ac:dyDescent="0.25">
      <c r="A65" s="20" t="s">
        <v>153</v>
      </c>
      <c r="B65" s="34">
        <f t="shared" ref="B65:E65" si="5">B61/B64</f>
        <v>0.95643835616438366</v>
      </c>
      <c r="C65" s="34">
        <f t="shared" si="5"/>
        <v>0.63213114754098365</v>
      </c>
      <c r="D65" s="34">
        <f t="shared" si="5"/>
        <v>0.77638297872340423</v>
      </c>
      <c r="E65" s="34">
        <f t="shared" si="5"/>
        <v>0.83741935483870966</v>
      </c>
      <c r="F65" s="32"/>
      <c r="G65" s="34">
        <f t="shared" ref="G65:H65" si="6">G61/G64</f>
        <v>0.72676923076923072</v>
      </c>
      <c r="H65" s="34">
        <f t="shared" si="6"/>
        <v>0.60658307210031348</v>
      </c>
      <c r="I65" s="34"/>
      <c r="J65" s="34">
        <f t="shared" ref="J65:K65" si="7">J61/J64</f>
        <v>0.76507936507936503</v>
      </c>
      <c r="K65" s="34">
        <f t="shared" si="7"/>
        <v>0.63360000000000005</v>
      </c>
      <c r="L65" s="32"/>
      <c r="M65" s="20"/>
      <c r="N65" s="32"/>
      <c r="O65" s="34">
        <f>O61/O64</f>
        <v>0.61903448275862072</v>
      </c>
      <c r="P65" s="32"/>
      <c r="Q65" s="34">
        <f t="shared" ref="Q65:R65" si="8">Q61/Q64</f>
        <v>0.71121951219512203</v>
      </c>
      <c r="R65" s="34">
        <f t="shared" si="8"/>
        <v>0.98074074074074069</v>
      </c>
      <c r="S65" s="13"/>
      <c r="T65" s="13"/>
      <c r="U65" s="13"/>
      <c r="V65" s="13"/>
      <c r="W65" s="13"/>
      <c r="X65" s="13"/>
      <c r="Y65" s="13"/>
    </row>
    <row r="66" spans="1:25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x14ac:dyDescent="0.25">
      <c r="A67" s="14" t="s">
        <v>154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x14ac:dyDescent="0.25">
      <c r="A68" s="15" t="s">
        <v>155</v>
      </c>
      <c r="B68" s="16" t="s">
        <v>105</v>
      </c>
      <c r="C68" s="16" t="s">
        <v>70</v>
      </c>
      <c r="D68" s="16" t="s">
        <v>71</v>
      </c>
      <c r="E68" s="16" t="s">
        <v>72</v>
      </c>
      <c r="F68" s="16" t="s">
        <v>73</v>
      </c>
      <c r="G68" s="16" t="s">
        <v>74</v>
      </c>
      <c r="H68" s="16" t="s">
        <v>75</v>
      </c>
      <c r="I68" s="35" t="s">
        <v>76</v>
      </c>
      <c r="J68" s="16" t="s">
        <v>77</v>
      </c>
      <c r="K68" s="16" t="s">
        <v>78</v>
      </c>
      <c r="L68" s="16" t="s">
        <v>79</v>
      </c>
      <c r="M68" s="16" t="s">
        <v>84</v>
      </c>
      <c r="N68" s="16" t="s">
        <v>85</v>
      </c>
      <c r="O68" s="16" t="s">
        <v>80</v>
      </c>
      <c r="P68" s="16" t="s">
        <v>81</v>
      </c>
      <c r="Q68" s="16" t="s">
        <v>82</v>
      </c>
      <c r="R68" s="16" t="s">
        <v>106</v>
      </c>
      <c r="S68" s="13"/>
      <c r="T68" s="13"/>
      <c r="U68" s="13"/>
      <c r="V68" s="13"/>
      <c r="W68" s="13"/>
      <c r="X68" s="13"/>
      <c r="Y68" s="13"/>
    </row>
    <row r="69" spans="1:25" x14ac:dyDescent="0.25">
      <c r="A69" s="17" t="s">
        <v>156</v>
      </c>
      <c r="B69" s="18"/>
      <c r="C69" s="19" t="s">
        <v>157</v>
      </c>
      <c r="D69" s="18"/>
      <c r="E69" s="18"/>
      <c r="F69" s="19" t="s">
        <v>158</v>
      </c>
      <c r="G69" s="18"/>
      <c r="H69" s="19" t="s">
        <v>157</v>
      </c>
      <c r="I69" s="19" t="s">
        <v>157</v>
      </c>
      <c r="J69" s="18"/>
      <c r="K69" s="18"/>
      <c r="L69" s="18"/>
      <c r="M69" s="18"/>
      <c r="N69" s="18"/>
      <c r="O69" s="18"/>
      <c r="P69" s="19" t="s">
        <v>157</v>
      </c>
      <c r="Q69" s="18"/>
      <c r="R69" s="19"/>
      <c r="S69" s="13"/>
      <c r="T69" s="13"/>
      <c r="U69" s="13"/>
      <c r="V69" s="13"/>
      <c r="W69" s="13"/>
      <c r="X69" s="13"/>
      <c r="Y69" s="13"/>
    </row>
    <row r="70" spans="1:25" x14ac:dyDescent="0.25">
      <c r="A70" s="17" t="s">
        <v>159</v>
      </c>
      <c r="B70" s="36"/>
      <c r="C70" s="37">
        <v>0.125</v>
      </c>
      <c r="D70" s="18"/>
      <c r="E70" s="18"/>
      <c r="F70" s="37">
        <v>4.1666666666666664E-2</v>
      </c>
      <c r="G70" s="18"/>
      <c r="H70" s="37">
        <v>0.125</v>
      </c>
      <c r="I70" s="37">
        <v>8.3333333333333329E-2</v>
      </c>
      <c r="J70" s="18"/>
      <c r="K70" s="18"/>
      <c r="L70" s="18"/>
      <c r="M70" s="18"/>
      <c r="N70" s="18"/>
      <c r="O70" s="18"/>
      <c r="P70" s="37">
        <v>0.125</v>
      </c>
      <c r="Q70" s="18"/>
      <c r="R70" s="19"/>
      <c r="S70" s="13"/>
      <c r="T70" s="13"/>
      <c r="U70" s="13"/>
      <c r="V70" s="13"/>
      <c r="W70" s="13"/>
      <c r="X70" s="13"/>
      <c r="Y70" s="13"/>
    </row>
    <row r="71" spans="1:25" x14ac:dyDescent="0.25">
      <c r="A71" s="17" t="s">
        <v>128</v>
      </c>
      <c r="B71" s="18"/>
      <c r="C71" s="19" t="s">
        <v>160</v>
      </c>
      <c r="D71" s="18"/>
      <c r="E71" s="18"/>
      <c r="F71" s="19" t="s">
        <v>132</v>
      </c>
      <c r="G71" s="18"/>
      <c r="H71" s="19" t="s">
        <v>160</v>
      </c>
      <c r="I71" s="38" t="s">
        <v>161</v>
      </c>
      <c r="J71" s="18"/>
      <c r="K71" s="18"/>
      <c r="L71" s="18"/>
      <c r="M71" s="18"/>
      <c r="N71" s="18"/>
      <c r="O71" s="18"/>
      <c r="P71" s="19" t="s">
        <v>160</v>
      </c>
      <c r="Q71" s="18"/>
      <c r="R71" s="19"/>
      <c r="S71" s="13"/>
      <c r="T71" s="13"/>
      <c r="U71" s="13"/>
      <c r="V71" s="13"/>
      <c r="W71" s="13"/>
      <c r="X71" s="13"/>
      <c r="Y71" s="13"/>
    </row>
    <row r="72" spans="1:25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x14ac:dyDescent="0.25">
      <c r="A73" s="15" t="s">
        <v>162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13"/>
      <c r="T73" s="13"/>
      <c r="U73" s="13"/>
      <c r="V73" s="13"/>
      <c r="W73" s="13"/>
      <c r="X73" s="13"/>
      <c r="Y73" s="13"/>
    </row>
    <row r="74" spans="1:25" x14ac:dyDescent="0.25">
      <c r="A74" s="17" t="s">
        <v>156</v>
      </c>
      <c r="B74" s="18"/>
      <c r="C74" s="19" t="s">
        <v>157</v>
      </c>
      <c r="D74" s="18"/>
      <c r="E74" s="18"/>
      <c r="F74" s="19" t="s">
        <v>157</v>
      </c>
      <c r="G74" s="18"/>
      <c r="H74" s="19" t="s">
        <v>157</v>
      </c>
      <c r="I74" s="19" t="s">
        <v>163</v>
      </c>
      <c r="J74" s="18"/>
      <c r="K74" s="18"/>
      <c r="L74" s="18"/>
      <c r="M74" s="18"/>
      <c r="N74" s="18"/>
      <c r="O74" s="18"/>
      <c r="P74" s="19" t="s">
        <v>157</v>
      </c>
      <c r="Q74" s="18"/>
      <c r="R74" s="19"/>
      <c r="S74" s="13"/>
      <c r="T74" s="13"/>
      <c r="U74" s="13"/>
      <c r="V74" s="13"/>
      <c r="W74" s="13"/>
      <c r="X74" s="13"/>
      <c r="Y74" s="13"/>
    </row>
    <row r="75" spans="1:25" x14ac:dyDescent="0.25">
      <c r="A75" s="17" t="s">
        <v>159</v>
      </c>
      <c r="B75" s="36"/>
      <c r="C75" s="37">
        <v>7.1527777777777773E-2</v>
      </c>
      <c r="D75" s="18"/>
      <c r="E75" s="18"/>
      <c r="F75" s="37">
        <v>4.1666666666666664E-2</v>
      </c>
      <c r="G75" s="18"/>
      <c r="H75" s="37">
        <v>8.3333333333333329E-2</v>
      </c>
      <c r="I75" s="37">
        <v>0</v>
      </c>
      <c r="J75" s="18"/>
      <c r="K75" s="18"/>
      <c r="L75" s="18"/>
      <c r="M75" s="18"/>
      <c r="N75" s="18"/>
      <c r="O75" s="18"/>
      <c r="P75" s="37">
        <v>4.5138888888888888E-2</v>
      </c>
      <c r="Q75" s="18"/>
      <c r="R75" s="19"/>
      <c r="S75" s="13"/>
      <c r="T75" s="13"/>
      <c r="U75" s="13"/>
      <c r="V75" s="13"/>
      <c r="W75" s="13"/>
      <c r="X75" s="13"/>
      <c r="Y75" s="13"/>
    </row>
    <row r="76" spans="1:25" x14ac:dyDescent="0.25">
      <c r="A76" s="17" t="s">
        <v>128</v>
      </c>
      <c r="B76" s="18"/>
      <c r="C76" s="38" t="s">
        <v>164</v>
      </c>
      <c r="D76" s="18"/>
      <c r="E76" s="18"/>
      <c r="F76" s="19" t="s">
        <v>132</v>
      </c>
      <c r="G76" s="18"/>
      <c r="H76" s="19" t="s">
        <v>160</v>
      </c>
      <c r="I76" s="38" t="s">
        <v>161</v>
      </c>
      <c r="J76" s="18"/>
      <c r="K76" s="18"/>
      <c r="L76" s="18"/>
      <c r="M76" s="18"/>
      <c r="N76" s="18"/>
      <c r="O76" s="18"/>
      <c r="P76" s="19" t="s">
        <v>132</v>
      </c>
      <c r="Q76" s="18"/>
      <c r="R76" s="19"/>
      <c r="S76" s="13"/>
      <c r="T76" s="13"/>
      <c r="U76" s="13"/>
      <c r="V76" s="13"/>
      <c r="W76" s="13"/>
      <c r="X76" s="13"/>
      <c r="Y76" s="13"/>
    </row>
    <row r="77" spans="1:25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x14ac:dyDescent="0.25">
      <c r="A78" s="15" t="s">
        <v>165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13"/>
      <c r="T78" s="13"/>
      <c r="U78" s="13"/>
      <c r="V78" s="13"/>
      <c r="W78" s="13"/>
      <c r="X78" s="13"/>
      <c r="Y78" s="13"/>
    </row>
    <row r="79" spans="1:25" x14ac:dyDescent="0.25">
      <c r="A79" s="17" t="s">
        <v>156</v>
      </c>
      <c r="B79" s="18"/>
      <c r="C79" s="19" t="s">
        <v>157</v>
      </c>
      <c r="D79" s="18"/>
      <c r="E79" s="18"/>
      <c r="F79" s="19" t="s">
        <v>157</v>
      </c>
      <c r="G79" s="18"/>
      <c r="H79" s="19" t="s">
        <v>157</v>
      </c>
      <c r="I79" s="19" t="s">
        <v>157</v>
      </c>
      <c r="J79" s="18"/>
      <c r="K79" s="18"/>
      <c r="L79" s="18"/>
      <c r="M79" s="18"/>
      <c r="N79" s="18"/>
      <c r="O79" s="18"/>
      <c r="P79" s="19" t="s">
        <v>157</v>
      </c>
      <c r="Q79" s="18"/>
      <c r="R79" s="19"/>
      <c r="S79" s="13"/>
      <c r="T79" s="13"/>
      <c r="U79" s="13"/>
      <c r="V79" s="13"/>
      <c r="W79" s="13"/>
      <c r="X79" s="13"/>
      <c r="Y79" s="13"/>
    </row>
    <row r="80" spans="1:25" x14ac:dyDescent="0.25">
      <c r="A80" s="17" t="s">
        <v>159</v>
      </c>
      <c r="B80" s="36"/>
      <c r="C80" s="37">
        <v>8.3333333333333329E-2</v>
      </c>
      <c r="D80" s="18"/>
      <c r="E80" s="18"/>
      <c r="F80" s="37">
        <v>4.5138888888888888E-2</v>
      </c>
      <c r="G80" s="18"/>
      <c r="H80" s="37">
        <v>8.3333333333333329E-2</v>
      </c>
      <c r="I80" s="37">
        <v>8.3333333333333332E-3</v>
      </c>
      <c r="J80" s="18"/>
      <c r="K80" s="18"/>
      <c r="L80" s="18"/>
      <c r="M80" s="18"/>
      <c r="N80" s="18"/>
      <c r="O80" s="18"/>
      <c r="P80" s="37">
        <v>4.1666666666666664E-2</v>
      </c>
      <c r="Q80" s="18"/>
      <c r="R80" s="19"/>
      <c r="S80" s="13"/>
      <c r="T80" s="13"/>
      <c r="U80" s="13"/>
      <c r="V80" s="13"/>
      <c r="W80" s="13"/>
      <c r="X80" s="13"/>
      <c r="Y80" s="13"/>
    </row>
    <row r="81" spans="1:25" x14ac:dyDescent="0.25">
      <c r="A81" s="17" t="s">
        <v>128</v>
      </c>
      <c r="B81" s="18"/>
      <c r="C81" s="19" t="s">
        <v>160</v>
      </c>
      <c r="D81" s="18"/>
      <c r="E81" s="18"/>
      <c r="F81" s="19" t="s">
        <v>132</v>
      </c>
      <c r="G81" s="18"/>
      <c r="H81" s="19" t="s">
        <v>160</v>
      </c>
      <c r="I81" s="38" t="s">
        <v>161</v>
      </c>
      <c r="J81" s="18"/>
      <c r="K81" s="18"/>
      <c r="L81" s="18"/>
      <c r="M81" s="18"/>
      <c r="N81" s="18"/>
      <c r="O81" s="18"/>
      <c r="P81" s="19" t="s">
        <v>132</v>
      </c>
      <c r="Q81" s="18"/>
      <c r="R81" s="19"/>
      <c r="S81" s="13"/>
      <c r="T81" s="13"/>
      <c r="U81" s="13"/>
      <c r="V81" s="13"/>
      <c r="W81" s="13"/>
      <c r="X81" s="13"/>
      <c r="Y81" s="13"/>
    </row>
    <row r="82" spans="1:25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x14ac:dyDescent="0.25">
      <c r="A83" s="15" t="s">
        <v>166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13"/>
      <c r="T83" s="13"/>
      <c r="U83" s="13"/>
      <c r="V83" s="13"/>
      <c r="W83" s="13"/>
      <c r="X83" s="13"/>
      <c r="Y83" s="13"/>
    </row>
    <row r="84" spans="1:25" x14ac:dyDescent="0.25">
      <c r="A84" s="17" t="s">
        <v>156</v>
      </c>
      <c r="B84" s="36"/>
      <c r="C84" s="19" t="s">
        <v>158</v>
      </c>
      <c r="D84" s="18"/>
      <c r="E84" s="18"/>
      <c r="F84" s="19" t="s">
        <v>158</v>
      </c>
      <c r="G84" s="18"/>
      <c r="H84" s="19" t="s">
        <v>158</v>
      </c>
      <c r="I84" s="19" t="s">
        <v>157</v>
      </c>
      <c r="J84" s="18"/>
      <c r="K84" s="18"/>
      <c r="L84" s="18"/>
      <c r="M84" s="18"/>
      <c r="N84" s="18"/>
      <c r="O84" s="18"/>
      <c r="P84" s="19" t="s">
        <v>158</v>
      </c>
      <c r="Q84" s="18"/>
      <c r="R84" s="19"/>
      <c r="S84" s="13"/>
      <c r="T84" s="13"/>
      <c r="U84" s="13"/>
      <c r="V84" s="13"/>
      <c r="W84" s="13"/>
      <c r="X84" s="13"/>
      <c r="Y84" s="13"/>
    </row>
    <row r="85" spans="1:25" x14ac:dyDescent="0.25">
      <c r="A85" s="17" t="s">
        <v>159</v>
      </c>
      <c r="B85" s="36"/>
      <c r="C85" s="37">
        <v>0.125</v>
      </c>
      <c r="D85" s="18"/>
      <c r="E85" s="18"/>
      <c r="F85" s="37">
        <v>6.8750000000000006E-2</v>
      </c>
      <c r="G85" s="18"/>
      <c r="H85" s="37">
        <v>0.125</v>
      </c>
      <c r="I85" s="37">
        <v>0.05</v>
      </c>
      <c r="J85" s="18"/>
      <c r="K85" s="18"/>
      <c r="L85" s="18"/>
      <c r="M85" s="18"/>
      <c r="N85" s="18"/>
      <c r="O85" s="18"/>
      <c r="P85" s="37">
        <v>4.5138888888888888E-2</v>
      </c>
      <c r="Q85" s="18"/>
      <c r="R85" s="19"/>
      <c r="S85" s="13"/>
      <c r="T85" s="13"/>
      <c r="U85" s="13"/>
      <c r="V85" s="13"/>
      <c r="W85" s="13"/>
      <c r="X85" s="13"/>
      <c r="Y85" s="13"/>
    </row>
    <row r="86" spans="1:25" x14ac:dyDescent="0.25">
      <c r="A86" s="17" t="s">
        <v>128</v>
      </c>
      <c r="B86" s="18"/>
      <c r="C86" s="19" t="s">
        <v>160</v>
      </c>
      <c r="D86" s="18"/>
      <c r="E86" s="18"/>
      <c r="F86" s="19" t="s">
        <v>167</v>
      </c>
      <c r="G86" s="18"/>
      <c r="H86" s="19" t="s">
        <v>160</v>
      </c>
      <c r="I86" s="38" t="s">
        <v>161</v>
      </c>
      <c r="J86" s="18"/>
      <c r="K86" s="18"/>
      <c r="L86" s="18"/>
      <c r="M86" s="18"/>
      <c r="N86" s="18"/>
      <c r="O86" s="18"/>
      <c r="P86" s="19" t="s">
        <v>168</v>
      </c>
      <c r="Q86" s="18"/>
      <c r="R86" s="19"/>
      <c r="S86" s="13"/>
      <c r="T86" s="13"/>
      <c r="U86" s="13"/>
      <c r="V86" s="13"/>
      <c r="W86" s="13"/>
      <c r="X86" s="13"/>
      <c r="Y86" s="13"/>
    </row>
    <row r="87" spans="1:25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x14ac:dyDescent="0.25">
      <c r="A88" s="15" t="s">
        <v>169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13"/>
      <c r="T88" s="13"/>
      <c r="U88" s="13"/>
      <c r="V88" s="13"/>
      <c r="W88" s="13"/>
      <c r="X88" s="13"/>
      <c r="Y88" s="13"/>
    </row>
    <row r="89" spans="1:25" x14ac:dyDescent="0.25">
      <c r="A89" s="17" t="s">
        <v>170</v>
      </c>
      <c r="B89" s="39"/>
      <c r="C89" s="40">
        <f>C70/C85</f>
        <v>1</v>
      </c>
      <c r="D89" s="39"/>
      <c r="E89" s="39"/>
      <c r="F89" s="40">
        <f>F70/F85</f>
        <v>0.60606060606060597</v>
      </c>
      <c r="G89" s="39"/>
      <c r="H89" s="40">
        <f t="shared" ref="H89:I89" si="9">H70/H85</f>
        <v>1</v>
      </c>
      <c r="I89" s="40">
        <f t="shared" si="9"/>
        <v>1.6666666666666665</v>
      </c>
      <c r="J89" s="39"/>
      <c r="K89" s="39"/>
      <c r="L89" s="39"/>
      <c r="M89" s="39"/>
      <c r="N89" s="39"/>
      <c r="O89" s="39"/>
      <c r="P89" s="40">
        <f>P70/P85</f>
        <v>2.7692307692307692</v>
      </c>
      <c r="Q89" s="39"/>
      <c r="R89" s="40" t="e">
        <f>R70/R85</f>
        <v>#DIV/0!</v>
      </c>
      <c r="S89" s="13"/>
      <c r="T89" s="13"/>
      <c r="U89" s="13"/>
      <c r="V89" s="13"/>
      <c r="W89" s="13"/>
      <c r="X89" s="13"/>
      <c r="Y89" s="13"/>
    </row>
    <row r="90" spans="1:25" x14ac:dyDescent="0.25">
      <c r="A90" s="17" t="s">
        <v>171</v>
      </c>
      <c r="B90" s="39"/>
      <c r="C90" s="40">
        <f>IF(C75&gt;C80,C80/C75,C75/C80)</f>
        <v>0.85833333333333328</v>
      </c>
      <c r="D90" s="39"/>
      <c r="E90" s="39"/>
      <c r="F90" s="40">
        <f>IF(F75&gt;F80,F80/F75,F75/F80)</f>
        <v>0.92307692307692302</v>
      </c>
      <c r="G90" s="39"/>
      <c r="H90" s="40">
        <f t="shared" ref="H90:I90" si="10">IF(H75&gt;H80,H80/H75,H75/H80)</f>
        <v>1</v>
      </c>
      <c r="I90" s="40">
        <f t="shared" si="10"/>
        <v>0</v>
      </c>
      <c r="J90" s="39"/>
      <c r="K90" s="39"/>
      <c r="L90" s="39"/>
      <c r="M90" s="39"/>
      <c r="N90" s="39"/>
      <c r="O90" s="39"/>
      <c r="P90" s="40">
        <f>IF(P75&gt;P80,P80/P75,P75/P80)</f>
        <v>0.92307692307692302</v>
      </c>
      <c r="Q90" s="39"/>
      <c r="R90" s="40" t="e">
        <f>IF(R75&gt;R80,R80/R75,R75/R80)</f>
        <v>#DIV/0!</v>
      </c>
      <c r="S90" s="13"/>
      <c r="T90" s="13"/>
      <c r="U90" s="13"/>
      <c r="V90" s="13"/>
      <c r="W90" s="13"/>
      <c r="X90" s="13"/>
      <c r="Y90" s="13"/>
    </row>
    <row r="91" spans="1:25" x14ac:dyDescent="0.25">
      <c r="A91" s="17" t="s">
        <v>172</v>
      </c>
      <c r="B91" s="39"/>
      <c r="C91" s="40">
        <f>C75/C85</f>
        <v>0.57222222222222219</v>
      </c>
      <c r="D91" s="39"/>
      <c r="E91" s="39"/>
      <c r="F91" s="40">
        <f>F75/F85</f>
        <v>0.60606060606060597</v>
      </c>
      <c r="G91" s="39"/>
      <c r="H91" s="40">
        <f t="shared" ref="H91:I91" si="11">H75/H85</f>
        <v>0.66666666666666663</v>
      </c>
      <c r="I91" s="40">
        <f t="shared" si="11"/>
        <v>0</v>
      </c>
      <c r="J91" s="39"/>
      <c r="K91" s="39"/>
      <c r="L91" s="39"/>
      <c r="M91" s="39"/>
      <c r="N91" s="39"/>
      <c r="O91" s="39"/>
      <c r="P91" s="40">
        <f>P75/P85</f>
        <v>1</v>
      </c>
      <c r="Q91" s="39"/>
      <c r="R91" s="40" t="e">
        <f>R75/R85</f>
        <v>#DIV/0!</v>
      </c>
      <c r="S91" s="13"/>
      <c r="T91" s="13"/>
      <c r="U91" s="13"/>
      <c r="V91" s="13"/>
      <c r="W91" s="13"/>
      <c r="X91" s="13"/>
      <c r="Y91" s="13"/>
    </row>
    <row r="92" spans="1:25" x14ac:dyDescent="0.25">
      <c r="A92" s="17" t="s">
        <v>173</v>
      </c>
      <c r="B92" s="39"/>
      <c r="C92" s="40">
        <f>C80/C85</f>
        <v>0.66666666666666663</v>
      </c>
      <c r="D92" s="39"/>
      <c r="E92" s="39"/>
      <c r="F92" s="40">
        <f>F80/F85</f>
        <v>0.65656565656565646</v>
      </c>
      <c r="G92" s="39"/>
      <c r="H92" s="40">
        <f t="shared" ref="H92:I92" si="12">H80/H85</f>
        <v>0.66666666666666663</v>
      </c>
      <c r="I92" s="40">
        <f t="shared" si="12"/>
        <v>0.16666666666666666</v>
      </c>
      <c r="J92" s="39"/>
      <c r="K92" s="39"/>
      <c r="L92" s="39"/>
      <c r="M92" s="39"/>
      <c r="N92" s="39"/>
      <c r="O92" s="39"/>
      <c r="P92" s="40">
        <f>P80/P85</f>
        <v>0.92307692307692302</v>
      </c>
      <c r="Q92" s="39"/>
      <c r="R92" s="40" t="e">
        <f>R80/R85</f>
        <v>#DIV/0!</v>
      </c>
      <c r="S92" s="13"/>
      <c r="T92" s="13"/>
      <c r="U92" s="13"/>
      <c r="V92" s="13"/>
      <c r="W92" s="13"/>
      <c r="X92" s="13"/>
      <c r="Y92" s="13"/>
    </row>
    <row r="93" spans="1:25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x14ac:dyDescent="0.25">
      <c r="A94" s="15" t="s">
        <v>174</v>
      </c>
      <c r="B94" s="16" t="s">
        <v>105</v>
      </c>
      <c r="C94" s="16" t="s">
        <v>70</v>
      </c>
      <c r="D94" s="16" t="s">
        <v>71</v>
      </c>
      <c r="E94" s="16" t="s">
        <v>72</v>
      </c>
      <c r="F94" s="16" t="s">
        <v>73</v>
      </c>
      <c r="G94" s="16" t="s">
        <v>74</v>
      </c>
      <c r="H94" s="16" t="s">
        <v>75</v>
      </c>
      <c r="I94" s="35" t="s">
        <v>76</v>
      </c>
      <c r="J94" s="16" t="s">
        <v>77</v>
      </c>
      <c r="K94" s="16" t="s">
        <v>78</v>
      </c>
      <c r="L94" s="16" t="s">
        <v>79</v>
      </c>
      <c r="M94" s="16" t="s">
        <v>84</v>
      </c>
      <c r="N94" s="16" t="s">
        <v>85</v>
      </c>
      <c r="O94" s="16" t="s">
        <v>80</v>
      </c>
      <c r="P94" s="16" t="s">
        <v>81</v>
      </c>
      <c r="Q94" s="16" t="s">
        <v>82</v>
      </c>
      <c r="R94" s="16" t="s">
        <v>106</v>
      </c>
      <c r="S94" s="13"/>
      <c r="T94" s="13"/>
      <c r="U94" s="13"/>
      <c r="V94" s="13"/>
      <c r="W94" s="13"/>
      <c r="X94" s="13"/>
      <c r="Y94" s="13"/>
    </row>
    <row r="95" spans="1:25" x14ac:dyDescent="0.25">
      <c r="A95" s="14" t="s">
        <v>175</v>
      </c>
      <c r="B95" s="20">
        <v>9</v>
      </c>
      <c r="C95" s="20">
        <v>6.5</v>
      </c>
      <c r="D95" s="20">
        <v>8.5</v>
      </c>
      <c r="E95" s="20">
        <v>9.5</v>
      </c>
      <c r="F95" s="20">
        <v>7</v>
      </c>
      <c r="G95" s="20">
        <v>11</v>
      </c>
      <c r="H95" s="20">
        <v>11.5</v>
      </c>
      <c r="I95" s="20">
        <v>0</v>
      </c>
      <c r="J95" s="26" t="s">
        <v>176</v>
      </c>
      <c r="K95" s="26" t="s">
        <v>176</v>
      </c>
      <c r="L95" s="20">
        <v>11.5</v>
      </c>
      <c r="M95" s="20">
        <v>8.25</v>
      </c>
      <c r="N95" s="20">
        <v>8.25</v>
      </c>
      <c r="O95" s="20">
        <v>11.25</v>
      </c>
      <c r="P95" s="20">
        <v>8</v>
      </c>
      <c r="Q95" s="20">
        <v>10.25</v>
      </c>
      <c r="R95" s="20">
        <v>9.25</v>
      </c>
      <c r="S95" s="13"/>
      <c r="T95" s="13"/>
      <c r="U95" s="13"/>
      <c r="V95" s="13"/>
      <c r="W95" s="13"/>
      <c r="X95" s="13"/>
      <c r="Y95" s="13"/>
    </row>
    <row r="96" spans="1:25" x14ac:dyDescent="0.25">
      <c r="U96" s="13"/>
      <c r="V96" s="13"/>
      <c r="W96" s="13"/>
      <c r="X96" s="13"/>
      <c r="Y96" s="13"/>
    </row>
    <row r="97" spans="1:25" x14ac:dyDescent="0.25">
      <c r="A97" s="14" t="s">
        <v>177</v>
      </c>
      <c r="B97" s="20">
        <v>20</v>
      </c>
      <c r="C97" s="20">
        <v>7</v>
      </c>
      <c r="D97" s="20">
        <v>20</v>
      </c>
      <c r="E97" s="20">
        <v>13</v>
      </c>
      <c r="F97" s="20">
        <v>10</v>
      </c>
      <c r="G97" s="20">
        <v>20</v>
      </c>
      <c r="H97" s="20">
        <v>20</v>
      </c>
      <c r="I97" s="20">
        <v>4</v>
      </c>
      <c r="J97" s="20">
        <v>20</v>
      </c>
      <c r="K97" s="26" t="s">
        <v>176</v>
      </c>
      <c r="L97" s="20">
        <v>20</v>
      </c>
      <c r="M97" s="20">
        <v>20</v>
      </c>
      <c r="N97" s="20">
        <v>13</v>
      </c>
      <c r="O97" s="20">
        <v>13</v>
      </c>
      <c r="P97" s="20">
        <v>7</v>
      </c>
      <c r="Q97" s="20">
        <v>20</v>
      </c>
      <c r="R97" s="20">
        <v>13</v>
      </c>
      <c r="S97" s="13"/>
      <c r="T97" s="13"/>
      <c r="U97" s="13"/>
      <c r="V97" s="13"/>
      <c r="W97" s="13"/>
      <c r="X97" s="13"/>
      <c r="Y97" s="13"/>
    </row>
    <row r="98" spans="1:25" x14ac:dyDescent="0.25"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x14ac:dyDescent="0.25">
      <c r="A99" s="14" t="s">
        <v>178</v>
      </c>
      <c r="B99" s="26" t="s">
        <v>179</v>
      </c>
      <c r="C99" s="26" t="s">
        <v>179</v>
      </c>
      <c r="D99" s="26" t="s">
        <v>179</v>
      </c>
      <c r="E99" s="26" t="s">
        <v>179</v>
      </c>
      <c r="F99" s="26" t="s">
        <v>179</v>
      </c>
      <c r="G99" s="26" t="s">
        <v>179</v>
      </c>
      <c r="H99" s="26" t="s">
        <v>179</v>
      </c>
      <c r="I99" s="26" t="s">
        <v>179</v>
      </c>
      <c r="J99" s="26" t="s">
        <v>179</v>
      </c>
      <c r="K99" s="26" t="s">
        <v>179</v>
      </c>
      <c r="L99" s="26" t="s">
        <v>179</v>
      </c>
      <c r="M99" s="20">
        <v>2.34</v>
      </c>
      <c r="N99" s="20">
        <v>2.41</v>
      </c>
      <c r="O99" s="26" t="s">
        <v>179</v>
      </c>
      <c r="P99" s="20">
        <v>2.33</v>
      </c>
      <c r="Q99" s="26" t="s">
        <v>179</v>
      </c>
      <c r="R99" s="26" t="s">
        <v>179</v>
      </c>
      <c r="S99" s="13"/>
      <c r="T99" s="13"/>
      <c r="U99" s="13"/>
      <c r="V99" s="13"/>
      <c r="W99" s="13"/>
      <c r="X99" s="13"/>
      <c r="Y99" s="13"/>
    </row>
    <row r="100" spans="1:25" x14ac:dyDescent="0.25"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x14ac:dyDescent="0.25">
      <c r="A101" s="14" t="s">
        <v>180</v>
      </c>
      <c r="B101" s="26" t="s">
        <v>179</v>
      </c>
      <c r="C101" s="26" t="s">
        <v>179</v>
      </c>
      <c r="D101" s="26">
        <v>22.41</v>
      </c>
      <c r="E101" s="26" t="s">
        <v>179</v>
      </c>
      <c r="F101" s="20">
        <v>22.78</v>
      </c>
      <c r="G101" s="26" t="s">
        <v>179</v>
      </c>
      <c r="H101" s="20"/>
      <c r="I101" s="20">
        <v>20.7</v>
      </c>
      <c r="J101" s="20"/>
      <c r="K101" s="26" t="s">
        <v>179</v>
      </c>
      <c r="L101" s="20"/>
      <c r="M101" s="26" t="s">
        <v>179</v>
      </c>
      <c r="N101" s="20"/>
      <c r="O101" s="26" t="s">
        <v>179</v>
      </c>
      <c r="P101" s="20"/>
      <c r="Q101" s="20">
        <v>20.52</v>
      </c>
      <c r="R101" s="26" t="s">
        <v>179</v>
      </c>
      <c r="S101" s="13"/>
      <c r="T101" s="13"/>
      <c r="U101" s="13"/>
      <c r="V101" s="13"/>
      <c r="W101" s="13"/>
      <c r="X101" s="13"/>
      <c r="Y101" s="13"/>
    </row>
    <row r="102" spans="1:25" x14ac:dyDescent="0.25">
      <c r="A102" s="13"/>
      <c r="B102" s="27"/>
      <c r="C102" s="27"/>
      <c r="D102" s="27"/>
      <c r="E102" s="27"/>
      <c r="F102" s="13"/>
      <c r="G102" s="27"/>
      <c r="H102" s="13"/>
      <c r="I102" s="13"/>
      <c r="J102" s="13"/>
      <c r="K102" s="27"/>
      <c r="L102" s="13"/>
      <c r="M102" s="27"/>
      <c r="N102" s="13"/>
      <c r="O102" s="27"/>
      <c r="P102" s="13"/>
      <c r="Q102" s="13"/>
      <c r="R102" s="27"/>
      <c r="S102" s="13"/>
      <c r="T102" s="13"/>
      <c r="U102" s="13"/>
      <c r="V102" s="13"/>
      <c r="W102" s="13"/>
      <c r="X102" s="13"/>
      <c r="Y102" s="13"/>
    </row>
    <row r="103" spans="1:25" x14ac:dyDescent="0.25">
      <c r="A103" s="41" t="s">
        <v>181</v>
      </c>
      <c r="B103" s="26" t="s">
        <v>179</v>
      </c>
      <c r="C103" s="26" t="s">
        <v>179</v>
      </c>
      <c r="D103" s="26">
        <v>25.25</v>
      </c>
      <c r="E103" s="26" t="s">
        <v>179</v>
      </c>
      <c r="F103" s="20">
        <v>32.25</v>
      </c>
      <c r="G103" s="26" t="s">
        <v>179</v>
      </c>
      <c r="H103" s="20">
        <v>20.5</v>
      </c>
      <c r="I103" s="20">
        <v>21.5</v>
      </c>
      <c r="J103" s="20"/>
      <c r="K103" s="26" t="s">
        <v>179</v>
      </c>
      <c r="L103" s="20"/>
      <c r="M103" s="26" t="s">
        <v>179</v>
      </c>
      <c r="N103" s="20"/>
      <c r="O103" s="26" t="s">
        <v>179</v>
      </c>
      <c r="P103" s="20"/>
      <c r="Q103" s="20">
        <v>22.5</v>
      </c>
      <c r="R103" s="26" t="s">
        <v>179</v>
      </c>
      <c r="S103" s="13"/>
      <c r="T103" s="13"/>
      <c r="U103" s="13"/>
      <c r="V103" s="13"/>
      <c r="W103" s="13"/>
      <c r="X103" s="13"/>
      <c r="Y103" s="13"/>
    </row>
    <row r="104" spans="1:25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x14ac:dyDescent="0.25">
      <c r="A107" s="13" t="s">
        <v>182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x14ac:dyDescent="0.25">
      <c r="A108" s="13" t="s">
        <v>183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x14ac:dyDescent="0.25">
      <c r="A109" s="42" t="s">
        <v>184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x14ac:dyDescent="0.25">
      <c r="A110" s="43" t="s">
        <v>185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1:2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1:2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1:2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1:2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1:2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1:2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1:2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1:2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1:2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1:2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1:2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1:2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1:2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1:2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1:2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spans="1:25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spans="1:25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spans="1:25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spans="1:25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spans="1:25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spans="1:25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spans="1:25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spans="1:25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spans="1:25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spans="1:25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spans="1:25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spans="1:25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spans="1:25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spans="1:25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spans="1:25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spans="1:25" x14ac:dyDescent="0.2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spans="1:25" x14ac:dyDescent="0.25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spans="1:25" x14ac:dyDescent="0.25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spans="1:25" x14ac:dyDescent="0.25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spans="1:25" x14ac:dyDescent="0.2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spans="1:25" x14ac:dyDescent="0.25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spans="1:25" x14ac:dyDescent="0.25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spans="1:25" x14ac:dyDescent="0.25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 spans="1:25" x14ac:dyDescent="0.25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 spans="1:25" x14ac:dyDescent="0.25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 spans="1:25" x14ac:dyDescent="0.25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 spans="1:25" x14ac:dyDescent="0.25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</sheetData>
  <conditionalFormatting sqref="A107">
    <cfRule type="notContainsBlanks" dxfId="359" priority="3">
      <formula>LEN(TRIM(A107))&gt;0</formula>
    </cfRule>
  </conditionalFormatting>
  <conditionalFormatting sqref="A108">
    <cfRule type="notContainsBlanks" dxfId="358" priority="2">
      <formula>LEN(TRIM(A108))&gt;0</formula>
    </cfRule>
  </conditionalFormatting>
  <conditionalFormatting sqref="A109">
    <cfRule type="notContainsBlanks" dxfId="357" priority="1">
      <formula>LEN(TRIM(A109))&gt;0</formula>
    </cfRule>
  </conditionalFormatting>
  <conditionalFormatting sqref="B61">
    <cfRule type="cellIs" dxfId="356" priority="91" operator="greaterThanOrEqual">
      <formula>365</formula>
    </cfRule>
    <cfRule type="cellIs" dxfId="355" priority="92" operator="lessThan">
      <formula>365</formula>
    </cfRule>
  </conditionalFormatting>
  <conditionalFormatting sqref="B5:I5">
    <cfRule type="cellIs" dxfId="354" priority="65" operator="greaterThanOrEqual">
      <formula>36</formula>
    </cfRule>
    <cfRule type="cellIs" dxfId="353" priority="66" operator="lessThan">
      <formula>36</formula>
    </cfRule>
  </conditionalFormatting>
  <conditionalFormatting sqref="B9:I9">
    <cfRule type="cellIs" dxfId="352" priority="67" operator="greaterThanOrEqual">
      <formula>36</formula>
    </cfRule>
    <cfRule type="cellIs" dxfId="351" priority="68" operator="lessThan">
      <formula>36</formula>
    </cfRule>
  </conditionalFormatting>
  <conditionalFormatting sqref="B14:I14">
    <cfRule type="cellIs" dxfId="350" priority="69" operator="greaterThanOrEqual">
      <formula>36</formula>
    </cfRule>
    <cfRule type="cellIs" dxfId="349" priority="70" operator="lessThan">
      <formula>36</formula>
    </cfRule>
  </conditionalFormatting>
  <conditionalFormatting sqref="B18:I18">
    <cfRule type="cellIs" dxfId="348" priority="71" operator="lessThan">
      <formula>36</formula>
    </cfRule>
    <cfRule type="cellIs" dxfId="347" priority="72" operator="greaterThanOrEqual">
      <formula>36</formula>
    </cfRule>
  </conditionalFormatting>
  <conditionalFormatting sqref="B29:R29">
    <cfRule type="cellIs" dxfId="346" priority="73" operator="greaterThanOrEqual">
      <formula>60</formula>
    </cfRule>
  </conditionalFormatting>
  <conditionalFormatting sqref="B34:R34">
    <cfRule type="cellIs" dxfId="345" priority="74" operator="greaterThanOrEqual">
      <formula>60</formula>
    </cfRule>
  </conditionalFormatting>
  <conditionalFormatting sqref="B40:R40">
    <cfRule type="cellIs" dxfId="344" priority="12" operator="lessThanOrEqual">
      <formula>10</formula>
    </cfRule>
    <cfRule type="cellIs" dxfId="343" priority="13" operator="greaterThan">
      <formula>10</formula>
    </cfRule>
  </conditionalFormatting>
  <conditionalFormatting sqref="B41:R41">
    <cfRule type="cellIs" dxfId="342" priority="14" operator="lessThan">
      <formula>"90%"</formula>
    </cfRule>
    <cfRule type="cellIs" dxfId="341" priority="15" operator="greaterThanOrEqual">
      <formula>"90%"</formula>
    </cfRule>
  </conditionalFormatting>
  <conditionalFormatting sqref="B49:R49">
    <cfRule type="cellIs" dxfId="340" priority="75" operator="greaterThanOrEqual">
      <formula>180</formula>
    </cfRule>
    <cfRule type="cellIs" dxfId="339" priority="76" operator="lessThan">
      <formula>180</formula>
    </cfRule>
  </conditionalFormatting>
  <conditionalFormatting sqref="B56:R56">
    <cfRule type="cellIs" dxfId="338" priority="77" operator="greaterThanOrEqual">
      <formula>180</formula>
    </cfRule>
    <cfRule type="cellIs" dxfId="337" priority="78" operator="lessThan">
      <formula>180</formula>
    </cfRule>
  </conditionalFormatting>
  <conditionalFormatting sqref="B24:T24">
    <cfRule type="cellIs" dxfId="336" priority="47" operator="greaterThan">
      <formula>6</formula>
    </cfRule>
    <cfRule type="cellIs" dxfId="335" priority="48" operator="lessThanOrEqual">
      <formula>6</formula>
    </cfRule>
  </conditionalFormatting>
  <conditionalFormatting sqref="C7 F7 H7:I7 P7 R7 C11 F11 H11:I11 P11 R11 C16 F16 H16:I16 P16 R16 C20 F20 H20:I20 P20 R20 B31:R31 B36:R36 B62:R62">
    <cfRule type="cellIs" dxfId="334" priority="46" operator="greaterThan">
      <formula>0</formula>
    </cfRule>
  </conditionalFormatting>
  <conditionalFormatting sqref="C23">
    <cfRule type="cellIs" dxfId="333" priority="4" operator="lessThanOrEqual">
      <formula>6</formula>
    </cfRule>
    <cfRule type="cellIs" dxfId="332" priority="5" operator="greaterThan">
      <formula>6</formula>
    </cfRule>
  </conditionalFormatting>
  <conditionalFormatting sqref="C61">
    <cfRule type="cellIs" dxfId="331" priority="93" operator="greaterThanOrEqual">
      <formula>305</formula>
    </cfRule>
    <cfRule type="cellIs" dxfId="330" priority="94" operator="lessThan">
      <formula>305</formula>
    </cfRule>
  </conditionalFormatting>
  <conditionalFormatting sqref="C89">
    <cfRule type="cellIs" dxfId="329" priority="16" operator="lessThan">
      <formula>0.8</formula>
    </cfRule>
    <cfRule type="cellIs" dxfId="328" priority="17" operator="greaterThanOrEqual">
      <formula>0.8</formula>
    </cfRule>
  </conditionalFormatting>
  <conditionalFormatting sqref="C90">
    <cfRule type="cellIs" dxfId="327" priority="26" operator="greaterThanOrEqual">
      <formula>0.75</formula>
    </cfRule>
    <cfRule type="cellIs" dxfId="326" priority="27" operator="lessThan">
      <formula>0.75</formula>
    </cfRule>
  </conditionalFormatting>
  <conditionalFormatting sqref="C91:C92">
    <cfRule type="cellIs" dxfId="325" priority="36" operator="greaterThanOrEqual">
      <formula>0.5</formula>
    </cfRule>
    <cfRule type="cellIs" dxfId="324" priority="37" operator="lessThan">
      <formula>0.5</formula>
    </cfRule>
  </conditionalFormatting>
  <conditionalFormatting sqref="C85:I85">
    <cfRule type="cellIs" dxfId="323" priority="82" operator="greaterThanOrEqual">
      <formula>"3:00"</formula>
    </cfRule>
  </conditionalFormatting>
  <conditionalFormatting sqref="C70:P70">
    <cfRule type="cellIs" dxfId="322" priority="79" operator="greaterThanOrEqual">
      <formula>"3:00"</formula>
    </cfRule>
  </conditionalFormatting>
  <conditionalFormatting sqref="C75:P75">
    <cfRule type="cellIs" dxfId="321" priority="80" operator="greaterThanOrEqual">
      <formula>"2:00"</formula>
    </cfRule>
  </conditionalFormatting>
  <conditionalFormatting sqref="C80:P80">
    <cfRule type="cellIs" dxfId="320" priority="81" operator="greaterThanOrEqual">
      <formula>"2:00"</formula>
    </cfRule>
  </conditionalFormatting>
  <conditionalFormatting sqref="D61">
    <cfRule type="cellIs" dxfId="319" priority="95" operator="greaterThanOrEqual">
      <formula>470</formula>
    </cfRule>
    <cfRule type="cellIs" dxfId="318" priority="96" operator="lessThan">
      <formula>470</formula>
    </cfRule>
  </conditionalFormatting>
  <conditionalFormatting sqref="D103">
    <cfRule type="notContainsBlanks" dxfId="317" priority="113">
      <formula>LEN(TRIM(D103))&gt;0</formula>
    </cfRule>
  </conditionalFormatting>
  <conditionalFormatting sqref="E61">
    <cfRule type="cellIs" dxfId="316" priority="97" operator="greaterThanOrEqual">
      <formula>387.5</formula>
    </cfRule>
    <cfRule type="cellIs" dxfId="315" priority="98" operator="lessThan">
      <formula>387.5</formula>
    </cfRule>
  </conditionalFormatting>
  <conditionalFormatting sqref="F23">
    <cfRule type="cellIs" dxfId="314" priority="6" operator="lessThanOrEqual">
      <formula>6</formula>
    </cfRule>
    <cfRule type="cellIs" dxfId="313" priority="7" operator="greaterThan">
      <formula>6</formula>
    </cfRule>
  </conditionalFormatting>
  <conditionalFormatting sqref="F61">
    <cfRule type="cellIs" dxfId="312" priority="83" operator="greaterThanOrEqual">
      <formula>372.5</formula>
    </cfRule>
    <cfRule type="cellIs" dxfId="311" priority="84" operator="lessThan">
      <formula>372.5</formula>
    </cfRule>
  </conditionalFormatting>
  <conditionalFormatting sqref="F89">
    <cfRule type="cellIs" dxfId="310" priority="18" operator="lessThan">
      <formula>0.8</formula>
    </cfRule>
    <cfRule type="cellIs" dxfId="309" priority="19" operator="greaterThanOrEqual">
      <formula>0.8</formula>
    </cfRule>
  </conditionalFormatting>
  <conditionalFormatting sqref="F90">
    <cfRule type="cellIs" dxfId="308" priority="28" operator="greaterThanOrEqual">
      <formula>0.75</formula>
    </cfRule>
    <cfRule type="cellIs" dxfId="307" priority="29" operator="lessThan">
      <formula>0.75</formula>
    </cfRule>
  </conditionalFormatting>
  <conditionalFormatting sqref="F91:F92">
    <cfRule type="cellIs" dxfId="306" priority="38" operator="lessThan">
      <formula>0.5</formula>
    </cfRule>
    <cfRule type="cellIs" dxfId="305" priority="39" operator="greaterThanOrEqual">
      <formula>0.5</formula>
    </cfRule>
  </conditionalFormatting>
  <conditionalFormatting sqref="F103">
    <cfRule type="notContainsBlanks" dxfId="304" priority="114">
      <formula>LEN(TRIM(F103))&gt;0</formula>
    </cfRule>
  </conditionalFormatting>
  <conditionalFormatting sqref="G61">
    <cfRule type="cellIs" dxfId="303" priority="99" operator="greaterThanOrEqual">
      <formula>325</formula>
    </cfRule>
    <cfRule type="cellIs" dxfId="302" priority="100" operator="lessThan">
      <formula>325</formula>
    </cfRule>
  </conditionalFormatting>
  <conditionalFormatting sqref="H61">
    <cfRule type="cellIs" dxfId="301" priority="111" operator="greaterThanOrEqual">
      <formula>319</formula>
    </cfRule>
    <cfRule type="cellIs" dxfId="300" priority="112" operator="lessThan">
      <formula>319</formula>
    </cfRule>
  </conditionalFormatting>
  <conditionalFormatting sqref="H23:I23">
    <cfRule type="cellIs" dxfId="299" priority="8" operator="greaterThan">
      <formula>6</formula>
    </cfRule>
    <cfRule type="cellIs" dxfId="298" priority="9" operator="lessThanOrEqual">
      <formula>6</formula>
    </cfRule>
  </conditionalFormatting>
  <conditionalFormatting sqref="H89:I89">
    <cfRule type="cellIs" dxfId="297" priority="20" operator="lessThan">
      <formula>0.8</formula>
    </cfRule>
    <cfRule type="cellIs" dxfId="296" priority="21" operator="greaterThanOrEqual">
      <formula>0.8</formula>
    </cfRule>
  </conditionalFormatting>
  <conditionalFormatting sqref="H90:I90">
    <cfRule type="cellIs" dxfId="295" priority="30" operator="greaterThanOrEqual">
      <formula>0.75</formula>
    </cfRule>
    <cfRule type="cellIs" dxfId="294" priority="31" operator="lessThan">
      <formula>0.75</formula>
    </cfRule>
  </conditionalFormatting>
  <conditionalFormatting sqref="H91:I92">
    <cfRule type="cellIs" dxfId="293" priority="40" operator="greaterThanOrEqual">
      <formula>0.5</formula>
    </cfRule>
    <cfRule type="cellIs" dxfId="292" priority="41" operator="lessThan">
      <formula>0.5</formula>
    </cfRule>
  </conditionalFormatting>
  <conditionalFormatting sqref="H103:I103">
    <cfRule type="notContainsBlanks" dxfId="291" priority="115">
      <formula>LEN(TRIM(H103))&gt;0</formula>
    </cfRule>
  </conditionalFormatting>
  <conditionalFormatting sqref="J61">
    <cfRule type="cellIs" dxfId="290" priority="109" operator="greaterThanOrEqual">
      <formula>315</formula>
    </cfRule>
    <cfRule type="cellIs" dxfId="289" priority="110" operator="lessThan">
      <formula>315</formula>
    </cfRule>
  </conditionalFormatting>
  <conditionalFormatting sqref="K61">
    <cfRule type="cellIs" dxfId="288" priority="107" operator="greaterThanOrEqual">
      <formula>312.5</formula>
    </cfRule>
    <cfRule type="cellIs" dxfId="287" priority="108" operator="lessThan">
      <formula>312.5</formula>
    </cfRule>
  </conditionalFormatting>
  <conditionalFormatting sqref="L61">
    <cfRule type="cellIs" dxfId="286" priority="85" operator="greaterThanOrEqual">
      <formula>375</formula>
    </cfRule>
    <cfRule type="cellIs" dxfId="285" priority="86" operator="lessThan">
      <formula>375</formula>
    </cfRule>
  </conditionalFormatting>
  <conditionalFormatting sqref="L5:N5">
    <cfRule type="cellIs" dxfId="284" priority="57" operator="greaterThanOrEqual">
      <formula>36</formula>
    </cfRule>
    <cfRule type="cellIs" dxfId="283" priority="58" operator="lessThan">
      <formula>36</formula>
    </cfRule>
  </conditionalFormatting>
  <conditionalFormatting sqref="L9:N9">
    <cfRule type="cellIs" dxfId="282" priority="59" operator="greaterThanOrEqual">
      <formula>36</formula>
    </cfRule>
    <cfRule type="cellIs" dxfId="281" priority="60" operator="lessThan">
      <formula>36</formula>
    </cfRule>
  </conditionalFormatting>
  <conditionalFormatting sqref="L14:N14">
    <cfRule type="cellIs" dxfId="280" priority="61" operator="greaterThanOrEqual">
      <formula>36</formula>
    </cfRule>
    <cfRule type="cellIs" dxfId="279" priority="62" operator="lessThan">
      <formula>36</formula>
    </cfRule>
  </conditionalFormatting>
  <conditionalFormatting sqref="L18:N18">
    <cfRule type="cellIs" dxfId="278" priority="63" operator="greaterThanOrEqual">
      <formula>36</formula>
    </cfRule>
    <cfRule type="cellIs" dxfId="277" priority="64" operator="lessThan">
      <formula>36</formula>
    </cfRule>
  </conditionalFormatting>
  <conditionalFormatting sqref="N61">
    <cfRule type="cellIs" dxfId="276" priority="101" operator="greaterThanOrEqual">
      <formula>402.5</formula>
    </cfRule>
    <cfRule type="cellIs" dxfId="275" priority="102" operator="lessThan">
      <formula>402.5</formula>
    </cfRule>
  </conditionalFormatting>
  <conditionalFormatting sqref="O61">
    <cfRule type="cellIs" dxfId="274" priority="87" operator="greaterThanOrEqual">
      <formula>362.5</formula>
    </cfRule>
    <cfRule type="cellIs" dxfId="273" priority="88" operator="lessThan">
      <formula>362.5</formula>
    </cfRule>
  </conditionalFormatting>
  <conditionalFormatting sqref="P23">
    <cfRule type="cellIs" dxfId="272" priority="10" operator="lessThanOrEqual">
      <formula>6</formula>
    </cfRule>
    <cfRule type="cellIs" dxfId="271" priority="11" operator="greaterThan">
      <formula>6</formula>
    </cfRule>
  </conditionalFormatting>
  <conditionalFormatting sqref="P61">
    <cfRule type="cellIs" dxfId="270" priority="89" operator="greaterThanOrEqual">
      <formula>350</formula>
    </cfRule>
    <cfRule type="cellIs" dxfId="269" priority="90" operator="lessThan">
      <formula>350</formula>
    </cfRule>
  </conditionalFormatting>
  <conditionalFormatting sqref="P89">
    <cfRule type="cellIs" dxfId="268" priority="22" operator="lessThan">
      <formula>0.8</formula>
    </cfRule>
    <cfRule type="cellIs" dxfId="267" priority="23" operator="greaterThanOrEqual">
      <formula>0.8</formula>
    </cfRule>
  </conditionalFormatting>
  <conditionalFormatting sqref="P90">
    <cfRule type="cellIs" dxfId="266" priority="32" operator="lessThan">
      <formula>0.75</formula>
    </cfRule>
    <cfRule type="cellIs" dxfId="265" priority="33" operator="greaterThanOrEqual">
      <formula>0.75</formula>
    </cfRule>
  </conditionalFormatting>
  <conditionalFormatting sqref="P91:P92">
    <cfRule type="cellIs" dxfId="264" priority="42" operator="greaterThanOrEqual">
      <formula>0.5</formula>
    </cfRule>
    <cfRule type="cellIs" dxfId="263" priority="43" operator="lessThan">
      <formula>0.5</formula>
    </cfRule>
  </conditionalFormatting>
  <conditionalFormatting sqref="P5:R5">
    <cfRule type="cellIs" dxfId="262" priority="55" operator="greaterThanOrEqual">
      <formula>36</formula>
    </cfRule>
    <cfRule type="cellIs" dxfId="261" priority="56" operator="lessThan">
      <formula>36</formula>
    </cfRule>
  </conditionalFormatting>
  <conditionalFormatting sqref="P9:R9">
    <cfRule type="cellIs" dxfId="260" priority="53" operator="greaterThanOrEqual">
      <formula>36</formula>
    </cfRule>
    <cfRule type="cellIs" dxfId="259" priority="54" operator="lessThan">
      <formula>36</formula>
    </cfRule>
  </conditionalFormatting>
  <conditionalFormatting sqref="P14:R14">
    <cfRule type="cellIs" dxfId="258" priority="51" operator="greaterThanOrEqual">
      <formula>36</formula>
    </cfRule>
    <cfRule type="cellIs" dxfId="257" priority="52" operator="lessThan">
      <formula>36</formula>
    </cfRule>
  </conditionalFormatting>
  <conditionalFormatting sqref="P18:R18">
    <cfRule type="cellIs" dxfId="256" priority="49" operator="greaterThanOrEqual">
      <formula>36</formula>
    </cfRule>
    <cfRule type="cellIs" dxfId="255" priority="50" operator="lessThan">
      <formula>36</formula>
    </cfRule>
  </conditionalFormatting>
  <conditionalFormatting sqref="Q61">
    <cfRule type="cellIs" dxfId="254" priority="105" operator="greaterThanOrEqual">
      <formula>410</formula>
    </cfRule>
    <cfRule type="cellIs" dxfId="253" priority="106" operator="lessThan">
      <formula>410</formula>
    </cfRule>
  </conditionalFormatting>
  <conditionalFormatting sqref="Q103">
    <cfRule type="notContainsBlanks" dxfId="252" priority="116">
      <formula>LEN(TRIM(Q103))&gt;0</formula>
    </cfRule>
  </conditionalFormatting>
  <conditionalFormatting sqref="R61">
    <cfRule type="cellIs" dxfId="251" priority="103" operator="greaterThanOrEqual">
      <formula>337.5</formula>
    </cfRule>
    <cfRule type="cellIs" dxfId="250" priority="104" operator="lessThan">
      <formula>337.5</formula>
    </cfRule>
  </conditionalFormatting>
  <conditionalFormatting sqref="R89">
    <cfRule type="cellIs" dxfId="249" priority="24" operator="lessThan">
      <formula>0.8</formula>
    </cfRule>
    <cfRule type="cellIs" dxfId="248" priority="25" operator="greaterThanOrEqual">
      <formula>0.8</formula>
    </cfRule>
  </conditionalFormatting>
  <conditionalFormatting sqref="R90">
    <cfRule type="cellIs" dxfId="247" priority="34" operator="greaterThanOrEqual">
      <formula>0.75</formula>
    </cfRule>
    <cfRule type="cellIs" dxfId="246" priority="35" operator="lessThan">
      <formula>0.75</formula>
    </cfRule>
  </conditionalFormatting>
  <conditionalFormatting sqref="R91:R92">
    <cfRule type="cellIs" dxfId="245" priority="44" operator="greaterThanOrEqual">
      <formula>0.5</formula>
    </cfRule>
    <cfRule type="cellIs" dxfId="244" priority="45" operator="less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1013"/>
  <sheetViews>
    <sheetView workbookViewId="0">
      <selection activeCell="K1" sqref="K1:K1048576"/>
    </sheetView>
  </sheetViews>
  <sheetFormatPr defaultColWidth="12.6640625" defaultRowHeight="15.75" customHeight="1" x14ac:dyDescent="0.25"/>
  <cols>
    <col min="1" max="1" width="28" customWidth="1"/>
    <col min="7" max="7" width="13.21875" customWidth="1"/>
  </cols>
  <sheetData>
    <row r="1" spans="1:23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x14ac:dyDescent="0.25">
      <c r="A3" s="14" t="s">
        <v>103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x14ac:dyDescent="0.25">
      <c r="A4" s="15" t="s">
        <v>104</v>
      </c>
      <c r="B4" s="16" t="s">
        <v>57</v>
      </c>
      <c r="C4" s="16" t="s">
        <v>58</v>
      </c>
      <c r="D4" s="16" t="s">
        <v>59</v>
      </c>
      <c r="E4" s="16" t="s">
        <v>60</v>
      </c>
      <c r="F4" s="16" t="s">
        <v>186</v>
      </c>
      <c r="G4" s="16" t="s">
        <v>66</v>
      </c>
      <c r="H4" s="16" t="s">
        <v>64</v>
      </c>
      <c r="I4" s="44" t="s">
        <v>68</v>
      </c>
      <c r="J4" s="21" t="s">
        <v>102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x14ac:dyDescent="0.25">
      <c r="A5" s="17" t="s">
        <v>107</v>
      </c>
      <c r="B5" s="19">
        <v>26</v>
      </c>
      <c r="C5" s="19">
        <v>35</v>
      </c>
      <c r="D5" s="19">
        <v>25</v>
      </c>
      <c r="E5" s="19">
        <v>34</v>
      </c>
      <c r="F5" s="19">
        <v>36</v>
      </c>
      <c r="G5" s="19">
        <v>37</v>
      </c>
      <c r="H5" s="19">
        <v>35</v>
      </c>
      <c r="I5" s="19">
        <v>32</v>
      </c>
      <c r="J5" s="19" t="s">
        <v>187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x14ac:dyDescent="0.25">
      <c r="A6" s="17" t="s">
        <v>108</v>
      </c>
      <c r="B6" s="19" t="s">
        <v>111</v>
      </c>
      <c r="C6" s="19" t="s">
        <v>111</v>
      </c>
      <c r="D6" s="19" t="s">
        <v>111</v>
      </c>
      <c r="E6" s="19" t="s">
        <v>111</v>
      </c>
      <c r="F6" s="19" t="s">
        <v>113</v>
      </c>
      <c r="G6" s="19" t="s">
        <v>188</v>
      </c>
      <c r="H6" s="19" t="s">
        <v>109</v>
      </c>
      <c r="I6" s="19" t="s">
        <v>113</v>
      </c>
      <c r="J6" s="19" t="s">
        <v>187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x14ac:dyDescent="0.25">
      <c r="A7" s="17" t="s">
        <v>114</v>
      </c>
      <c r="B7" s="19" t="s">
        <v>113</v>
      </c>
      <c r="C7" s="19" t="s">
        <v>113</v>
      </c>
      <c r="D7" s="19" t="s">
        <v>113</v>
      </c>
      <c r="E7" s="19" t="s">
        <v>113</v>
      </c>
      <c r="F7" s="19" t="s">
        <v>113</v>
      </c>
      <c r="G7" s="19" t="s">
        <v>113</v>
      </c>
      <c r="H7" s="19" t="s">
        <v>113</v>
      </c>
      <c r="I7" s="19" t="s">
        <v>113</v>
      </c>
      <c r="J7" s="19" t="s">
        <v>187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spans="1:23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1:23" x14ac:dyDescent="0.25">
      <c r="A9" s="17" t="s">
        <v>115</v>
      </c>
      <c r="B9" s="19">
        <v>31</v>
      </c>
      <c r="C9" s="19">
        <v>39</v>
      </c>
      <c r="D9" s="19">
        <v>32</v>
      </c>
      <c r="E9" s="19">
        <v>40</v>
      </c>
      <c r="F9" s="19">
        <v>40</v>
      </c>
      <c r="G9" s="19">
        <v>40</v>
      </c>
      <c r="H9" s="19">
        <v>36</v>
      </c>
      <c r="I9" s="19">
        <v>34</v>
      </c>
      <c r="J9" s="19" t="s">
        <v>187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3" x14ac:dyDescent="0.25">
      <c r="A10" s="17" t="s">
        <v>108</v>
      </c>
      <c r="B10" s="19" t="s">
        <v>112</v>
      </c>
      <c r="C10" s="19" t="s">
        <v>111</v>
      </c>
      <c r="D10" s="19" t="s">
        <v>111</v>
      </c>
      <c r="E10" s="19" t="s">
        <v>112</v>
      </c>
      <c r="F10" s="19" t="s">
        <v>113</v>
      </c>
      <c r="G10" s="19" t="s">
        <v>109</v>
      </c>
      <c r="H10" s="19" t="s">
        <v>112</v>
      </c>
      <c r="I10" s="19" t="s">
        <v>189</v>
      </c>
      <c r="J10" s="19" t="s">
        <v>187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x14ac:dyDescent="0.25">
      <c r="A11" s="17" t="s">
        <v>114</v>
      </c>
      <c r="B11" s="19" t="s">
        <v>113</v>
      </c>
      <c r="C11" s="19" t="s">
        <v>113</v>
      </c>
      <c r="D11" s="19" t="s">
        <v>113</v>
      </c>
      <c r="E11" s="19">
        <v>2</v>
      </c>
      <c r="F11" s="19" t="s">
        <v>113</v>
      </c>
      <c r="G11" s="19" t="s">
        <v>113</v>
      </c>
      <c r="H11" s="19">
        <v>4</v>
      </c>
      <c r="I11" s="19">
        <v>1</v>
      </c>
      <c r="J11" s="19" t="s">
        <v>187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x14ac:dyDescent="0.25">
      <c r="A13" s="15" t="s">
        <v>121</v>
      </c>
      <c r="B13" s="21"/>
      <c r="C13" s="21"/>
      <c r="D13" s="21"/>
      <c r="E13" s="21"/>
      <c r="F13" s="21"/>
      <c r="G13" s="21"/>
      <c r="H13" s="21"/>
      <c r="I13" s="21"/>
      <c r="J13" s="21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x14ac:dyDescent="0.25">
      <c r="A14" s="17" t="s">
        <v>107</v>
      </c>
      <c r="B14" s="19">
        <v>31</v>
      </c>
      <c r="C14" s="19">
        <v>27</v>
      </c>
      <c r="D14" s="19">
        <v>37</v>
      </c>
      <c r="E14" s="19">
        <v>34</v>
      </c>
      <c r="F14" s="19">
        <v>36</v>
      </c>
      <c r="G14" s="19">
        <v>35</v>
      </c>
      <c r="H14" s="19">
        <v>36</v>
      </c>
      <c r="I14" s="19">
        <v>35</v>
      </c>
      <c r="J14" s="19" t="s">
        <v>187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x14ac:dyDescent="0.25">
      <c r="A15" s="17" t="s">
        <v>108</v>
      </c>
      <c r="B15" s="19" t="s">
        <v>111</v>
      </c>
      <c r="C15" s="19" t="s">
        <v>190</v>
      </c>
      <c r="D15" s="19" t="s">
        <v>111</v>
      </c>
      <c r="E15" s="19" t="s">
        <v>111</v>
      </c>
      <c r="F15" s="19" t="s">
        <v>113</v>
      </c>
      <c r="G15" s="19" t="s">
        <v>111</v>
      </c>
      <c r="H15" s="19" t="s">
        <v>111</v>
      </c>
      <c r="I15" s="19" t="s">
        <v>113</v>
      </c>
      <c r="J15" s="19" t="s">
        <v>187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x14ac:dyDescent="0.25">
      <c r="A16" s="17" t="s">
        <v>114</v>
      </c>
      <c r="B16" s="19" t="s">
        <v>113</v>
      </c>
      <c r="C16" s="19">
        <v>5</v>
      </c>
      <c r="D16" s="19" t="s">
        <v>113</v>
      </c>
      <c r="E16" s="19" t="s">
        <v>113</v>
      </c>
      <c r="F16" s="19" t="s">
        <v>113</v>
      </c>
      <c r="G16" s="19" t="s">
        <v>113</v>
      </c>
      <c r="H16" s="19" t="s">
        <v>113</v>
      </c>
      <c r="I16" s="19" t="s">
        <v>113</v>
      </c>
      <c r="J16" s="19" t="s">
        <v>187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1:23" x14ac:dyDescent="0.25">
      <c r="A18" s="17" t="s">
        <v>115</v>
      </c>
      <c r="B18" s="19">
        <v>34</v>
      </c>
      <c r="C18" s="19">
        <v>25</v>
      </c>
      <c r="D18" s="19">
        <v>42</v>
      </c>
      <c r="E18" s="19">
        <v>36</v>
      </c>
      <c r="F18" s="19">
        <v>36</v>
      </c>
      <c r="G18" s="19">
        <v>38</v>
      </c>
      <c r="H18" s="19">
        <v>37</v>
      </c>
      <c r="I18" s="19">
        <v>33</v>
      </c>
      <c r="J18" s="19" t="s">
        <v>187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3" x14ac:dyDescent="0.25">
      <c r="A19" s="17" t="s">
        <v>108</v>
      </c>
      <c r="B19" s="19" t="s">
        <v>112</v>
      </c>
      <c r="C19" s="19" t="s">
        <v>190</v>
      </c>
      <c r="D19" s="19" t="s">
        <v>191</v>
      </c>
      <c r="E19" s="19" t="s">
        <v>192</v>
      </c>
      <c r="F19" s="19" t="s">
        <v>113</v>
      </c>
      <c r="G19" s="19" t="s">
        <v>112</v>
      </c>
      <c r="H19" s="19" t="s">
        <v>109</v>
      </c>
      <c r="I19" s="19" t="s">
        <v>193</v>
      </c>
      <c r="J19" s="19" t="s">
        <v>187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x14ac:dyDescent="0.25">
      <c r="A20" s="17" t="s">
        <v>114</v>
      </c>
      <c r="B20" s="19" t="s">
        <v>113</v>
      </c>
      <c r="C20" s="19">
        <v>5</v>
      </c>
      <c r="D20" s="19" t="s">
        <v>194</v>
      </c>
      <c r="E20" s="19">
        <v>4</v>
      </c>
      <c r="F20" s="19" t="s">
        <v>113</v>
      </c>
      <c r="G20" s="19" t="s">
        <v>113</v>
      </c>
      <c r="H20" s="19" t="s">
        <v>113</v>
      </c>
      <c r="I20" s="19">
        <v>4</v>
      </c>
      <c r="J20" s="19" t="s">
        <v>187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x14ac:dyDescent="0.25">
      <c r="A22" s="15" t="s">
        <v>123</v>
      </c>
      <c r="B22" s="21"/>
      <c r="C22" s="21"/>
      <c r="D22" s="21"/>
      <c r="E22" s="21"/>
      <c r="F22" s="21"/>
      <c r="G22" s="21"/>
      <c r="H22" s="21"/>
      <c r="I22" s="21"/>
      <c r="J22" s="21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1:23" x14ac:dyDescent="0.25">
      <c r="A23" s="17" t="s">
        <v>124</v>
      </c>
      <c r="B23" s="45">
        <f t="shared" ref="B23:J23" si="0">IF(B5&gt;B14,B5-B14,B14-B5)</f>
        <v>5</v>
      </c>
      <c r="C23" s="45">
        <f t="shared" si="0"/>
        <v>8</v>
      </c>
      <c r="D23" s="45">
        <f t="shared" si="0"/>
        <v>12</v>
      </c>
      <c r="E23" s="45">
        <f t="shared" si="0"/>
        <v>0</v>
      </c>
      <c r="F23" s="45">
        <f t="shared" si="0"/>
        <v>0</v>
      </c>
      <c r="G23" s="45">
        <f t="shared" si="0"/>
        <v>2</v>
      </c>
      <c r="H23" s="45">
        <f t="shared" si="0"/>
        <v>1</v>
      </c>
      <c r="I23" s="45">
        <f t="shared" si="0"/>
        <v>3</v>
      </c>
      <c r="J23" s="45" t="e">
        <f t="shared" si="0"/>
        <v>#VALUE!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1:23" x14ac:dyDescent="0.25">
      <c r="A24" s="17" t="s">
        <v>125</v>
      </c>
      <c r="B24" s="25">
        <f t="shared" ref="B24:J24" si="1">IF(B9&gt;B18,B9-B18,B18-B9)</f>
        <v>3</v>
      </c>
      <c r="C24" s="25">
        <f t="shared" si="1"/>
        <v>14</v>
      </c>
      <c r="D24" s="25">
        <f t="shared" si="1"/>
        <v>10</v>
      </c>
      <c r="E24" s="25">
        <f t="shared" si="1"/>
        <v>4</v>
      </c>
      <c r="F24" s="25">
        <f t="shared" si="1"/>
        <v>4</v>
      </c>
      <c r="G24" s="25">
        <f t="shared" si="1"/>
        <v>2</v>
      </c>
      <c r="H24" s="25">
        <f t="shared" si="1"/>
        <v>1</v>
      </c>
      <c r="I24" s="25">
        <f t="shared" si="1"/>
        <v>1</v>
      </c>
      <c r="J24" s="25" t="e">
        <f t="shared" si="1"/>
        <v>#VALUE!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1:23" x14ac:dyDescent="0.25"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x14ac:dyDescent="0.25">
      <c r="A27" s="14" t="s">
        <v>126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spans="1:23" x14ac:dyDescent="0.25">
      <c r="A28" s="15" t="s">
        <v>104</v>
      </c>
      <c r="B28" s="16" t="s">
        <v>57</v>
      </c>
      <c r="C28" s="16" t="s">
        <v>58</v>
      </c>
      <c r="D28" s="16" t="s">
        <v>59</v>
      </c>
      <c r="E28" s="16" t="s">
        <v>60</v>
      </c>
      <c r="F28" s="16" t="s">
        <v>186</v>
      </c>
      <c r="G28" s="16" t="s">
        <v>66</v>
      </c>
      <c r="H28" s="16" t="s">
        <v>64</v>
      </c>
      <c r="I28" s="44" t="s">
        <v>68</v>
      </c>
      <c r="J28" s="21" t="s">
        <v>102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spans="1:23" x14ac:dyDescent="0.25">
      <c r="A29" s="17" t="s">
        <v>127</v>
      </c>
      <c r="B29" s="19">
        <v>30</v>
      </c>
      <c r="C29" s="19">
        <v>60</v>
      </c>
      <c r="D29" s="19">
        <v>40</v>
      </c>
      <c r="E29" s="19">
        <v>60</v>
      </c>
      <c r="F29" s="19">
        <v>60</v>
      </c>
      <c r="G29" s="19">
        <v>35</v>
      </c>
      <c r="H29" s="19">
        <v>30</v>
      </c>
      <c r="I29" s="18"/>
      <c r="J29" s="18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spans="1:23" x14ac:dyDescent="0.25">
      <c r="A30" s="28" t="s">
        <v>128</v>
      </c>
      <c r="B30" s="19" t="s">
        <v>132</v>
      </c>
      <c r="C30" s="19" t="s">
        <v>129</v>
      </c>
      <c r="D30" s="19" t="s">
        <v>133</v>
      </c>
      <c r="E30" s="19" t="s">
        <v>129</v>
      </c>
      <c r="F30" s="19" t="s">
        <v>195</v>
      </c>
      <c r="G30" s="19" t="s">
        <v>196</v>
      </c>
      <c r="H30" s="19" t="s">
        <v>132</v>
      </c>
      <c r="I30" s="18"/>
      <c r="J30" s="18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x14ac:dyDescent="0.25">
      <c r="A31" s="28" t="s">
        <v>135</v>
      </c>
      <c r="B31" s="19" t="s">
        <v>113</v>
      </c>
      <c r="C31" s="19" t="s">
        <v>113</v>
      </c>
      <c r="D31" s="19" t="s">
        <v>113</v>
      </c>
      <c r="E31" s="19" t="s">
        <v>113</v>
      </c>
      <c r="F31" s="19" t="s">
        <v>113</v>
      </c>
      <c r="G31" s="19" t="s">
        <v>113</v>
      </c>
      <c r="H31" s="19" t="s">
        <v>113</v>
      </c>
      <c r="I31" s="18"/>
      <c r="J31" s="18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spans="1:23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spans="1:23" x14ac:dyDescent="0.25">
      <c r="A33" s="15" t="s">
        <v>121</v>
      </c>
      <c r="B33" s="21"/>
      <c r="C33" s="21"/>
      <c r="D33" s="21"/>
      <c r="E33" s="21"/>
      <c r="F33" s="21"/>
      <c r="G33" s="21"/>
      <c r="H33" s="21"/>
      <c r="I33" s="21"/>
      <c r="J33" s="21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spans="1:23" x14ac:dyDescent="0.25">
      <c r="A34" s="17" t="s">
        <v>127</v>
      </c>
      <c r="B34" s="19">
        <v>30</v>
      </c>
      <c r="C34" s="19">
        <v>60</v>
      </c>
      <c r="D34" s="19">
        <v>30</v>
      </c>
      <c r="E34" s="19">
        <v>60</v>
      </c>
      <c r="F34" s="19">
        <v>54</v>
      </c>
      <c r="G34" s="19">
        <v>50</v>
      </c>
      <c r="H34" s="19">
        <v>30</v>
      </c>
      <c r="I34" s="18"/>
      <c r="J34" s="18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spans="1:23" x14ac:dyDescent="0.25">
      <c r="A35" s="28" t="s">
        <v>136</v>
      </c>
      <c r="B35" s="19" t="s">
        <v>132</v>
      </c>
      <c r="C35" s="19" t="s">
        <v>129</v>
      </c>
      <c r="D35" s="19" t="s">
        <v>197</v>
      </c>
      <c r="E35" s="19" t="s">
        <v>129</v>
      </c>
      <c r="F35" s="19" t="s">
        <v>132</v>
      </c>
      <c r="G35" s="19" t="s">
        <v>198</v>
      </c>
      <c r="H35" s="19" t="s">
        <v>132</v>
      </c>
      <c r="I35" s="18"/>
      <c r="J35" s="18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spans="1:23" x14ac:dyDescent="0.25">
      <c r="A36" s="28" t="s">
        <v>135</v>
      </c>
      <c r="B36" s="19" t="s">
        <v>113</v>
      </c>
      <c r="C36" s="19" t="s">
        <v>113</v>
      </c>
      <c r="D36" s="19">
        <v>7</v>
      </c>
      <c r="E36" s="19" t="s">
        <v>113</v>
      </c>
      <c r="F36" s="19" t="s">
        <v>113</v>
      </c>
      <c r="G36" s="19" t="s">
        <v>113</v>
      </c>
      <c r="H36" s="19" t="s">
        <v>113</v>
      </c>
      <c r="I36" s="18"/>
      <c r="J36" s="18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spans="1:23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spans="1:23" x14ac:dyDescent="0.25">
      <c r="A38" s="15" t="s">
        <v>123</v>
      </c>
      <c r="B38" s="21"/>
      <c r="C38" s="21"/>
      <c r="D38" s="21"/>
      <c r="E38" s="21"/>
      <c r="F38" s="21"/>
      <c r="G38" s="21"/>
      <c r="H38" s="21"/>
      <c r="I38" s="21"/>
      <c r="J38" s="21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spans="1:23" x14ac:dyDescent="0.25">
      <c r="A39" s="17" t="s">
        <v>140</v>
      </c>
      <c r="B39" s="22">
        <f t="shared" ref="B39:J39" si="2">IF(B29&gt;B34,B29-B34,B34-B29)</f>
        <v>0</v>
      </c>
      <c r="C39" s="22">
        <f t="shared" si="2"/>
        <v>0</v>
      </c>
      <c r="D39" s="22">
        <f t="shared" si="2"/>
        <v>10</v>
      </c>
      <c r="E39" s="22">
        <f t="shared" si="2"/>
        <v>0</v>
      </c>
      <c r="F39" s="22">
        <f t="shared" si="2"/>
        <v>6</v>
      </c>
      <c r="G39" s="22">
        <f t="shared" si="2"/>
        <v>15</v>
      </c>
      <c r="H39" s="22">
        <f t="shared" si="2"/>
        <v>0</v>
      </c>
      <c r="I39" s="22">
        <f t="shared" si="2"/>
        <v>0</v>
      </c>
      <c r="J39" s="22">
        <f t="shared" si="2"/>
        <v>0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spans="1:23" x14ac:dyDescent="0.25">
      <c r="A40" s="17" t="s">
        <v>141</v>
      </c>
      <c r="B40" s="29">
        <f t="shared" ref="B40:J40" si="3">IF(B29&lt;B34,B29/B34,B34/B29)</f>
        <v>1</v>
      </c>
      <c r="C40" s="29">
        <f t="shared" si="3"/>
        <v>1</v>
      </c>
      <c r="D40" s="29">
        <f t="shared" si="3"/>
        <v>0.75</v>
      </c>
      <c r="E40" s="29">
        <f t="shared" si="3"/>
        <v>1</v>
      </c>
      <c r="F40" s="29">
        <f t="shared" si="3"/>
        <v>0.9</v>
      </c>
      <c r="G40" s="29">
        <f t="shared" si="3"/>
        <v>0.7</v>
      </c>
      <c r="H40" s="29">
        <f t="shared" si="3"/>
        <v>1</v>
      </c>
      <c r="I40" s="29" t="e">
        <f t="shared" si="3"/>
        <v>#DIV/0!</v>
      </c>
      <c r="J40" s="29" t="e">
        <f t="shared" si="3"/>
        <v>#DIV/0!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spans="1:23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spans="1:23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spans="1:23" x14ac:dyDescent="0.25">
      <c r="A43" s="14" t="s">
        <v>142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spans="1:23" x14ac:dyDescent="0.25">
      <c r="A44" s="30" t="s">
        <v>104</v>
      </c>
      <c r="B44" s="16" t="s">
        <v>57</v>
      </c>
      <c r="C44" s="16" t="s">
        <v>58</v>
      </c>
      <c r="D44" s="16" t="s">
        <v>59</v>
      </c>
      <c r="E44" s="16" t="s">
        <v>60</v>
      </c>
      <c r="F44" s="16" t="s">
        <v>186</v>
      </c>
      <c r="G44" s="16" t="s">
        <v>66</v>
      </c>
      <c r="H44" s="16" t="s">
        <v>64</v>
      </c>
      <c r="I44" s="44" t="s">
        <v>68</v>
      </c>
      <c r="J44" s="21" t="s">
        <v>102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spans="1:23" x14ac:dyDescent="0.25">
      <c r="A45" s="31" t="s">
        <v>143</v>
      </c>
      <c r="B45" s="20">
        <v>102</v>
      </c>
      <c r="C45" s="20">
        <v>126</v>
      </c>
      <c r="D45" s="20">
        <v>108</v>
      </c>
      <c r="E45" s="1">
        <v>97</v>
      </c>
      <c r="F45" s="20">
        <v>113</v>
      </c>
      <c r="G45" s="20">
        <v>95</v>
      </c>
      <c r="H45" s="20">
        <v>106</v>
      </c>
      <c r="I45" s="32"/>
      <c r="J45" s="32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spans="1:23" x14ac:dyDescent="0.25">
      <c r="A46" s="31" t="s">
        <v>145</v>
      </c>
      <c r="B46" s="20">
        <v>78</v>
      </c>
      <c r="C46" s="20">
        <v>57</v>
      </c>
      <c r="D46" s="20">
        <v>72</v>
      </c>
      <c r="E46" s="20">
        <v>77</v>
      </c>
      <c r="F46" s="20">
        <v>87</v>
      </c>
      <c r="G46" s="20">
        <v>63</v>
      </c>
      <c r="H46" s="20">
        <v>83</v>
      </c>
      <c r="I46" s="32"/>
      <c r="J46" s="32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spans="1:23" x14ac:dyDescent="0.25">
      <c r="A47" s="31" t="s">
        <v>114</v>
      </c>
      <c r="B47" s="20">
        <v>0</v>
      </c>
      <c r="C47" s="33" t="s">
        <v>199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32"/>
      <c r="J47" s="32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spans="1:23" x14ac:dyDescent="0.25">
      <c r="A48" s="31" t="s">
        <v>147</v>
      </c>
      <c r="B48" s="20">
        <f>SUM(B45,B46)</f>
        <v>180</v>
      </c>
      <c r="C48" s="20">
        <v>183</v>
      </c>
      <c r="D48" s="20">
        <f t="shared" ref="D48:G48" si="4">SUM(D45,D46)</f>
        <v>180</v>
      </c>
      <c r="E48" s="20">
        <f t="shared" si="4"/>
        <v>174</v>
      </c>
      <c r="F48" s="20">
        <f t="shared" si="4"/>
        <v>200</v>
      </c>
      <c r="G48" s="20">
        <f t="shared" si="4"/>
        <v>158</v>
      </c>
      <c r="H48" s="20">
        <v>158</v>
      </c>
      <c r="I48" s="20"/>
      <c r="J48" s="20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spans="1:23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spans="1:23" x14ac:dyDescent="0.25">
      <c r="A50" s="30" t="s">
        <v>121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spans="1:23" x14ac:dyDescent="0.25">
      <c r="A51" s="31" t="s">
        <v>143</v>
      </c>
      <c r="B51" s="20">
        <v>115</v>
      </c>
      <c r="C51" s="20">
        <v>116</v>
      </c>
      <c r="D51" s="20">
        <v>111</v>
      </c>
      <c r="E51" s="20">
        <v>97</v>
      </c>
      <c r="F51" s="20">
        <v>117</v>
      </c>
      <c r="G51" s="20">
        <v>103</v>
      </c>
      <c r="H51" s="20">
        <v>107</v>
      </c>
      <c r="I51" s="32"/>
      <c r="J51" s="32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spans="1:23" x14ac:dyDescent="0.25">
      <c r="A52" s="31" t="s">
        <v>145</v>
      </c>
      <c r="B52" s="20">
        <v>69</v>
      </c>
      <c r="C52" s="20">
        <v>55</v>
      </c>
      <c r="D52" s="20">
        <v>68</v>
      </c>
      <c r="E52" s="20">
        <v>76</v>
      </c>
      <c r="F52" s="20">
        <v>85</v>
      </c>
      <c r="G52" s="20">
        <v>82</v>
      </c>
      <c r="H52" s="20">
        <v>84</v>
      </c>
      <c r="I52" s="32"/>
      <c r="J52" s="32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spans="1:23" x14ac:dyDescent="0.25">
      <c r="A53" s="31" t="s">
        <v>114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32"/>
      <c r="J53" s="32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spans="1:23" x14ac:dyDescent="0.25">
      <c r="A54" s="31" t="s">
        <v>147</v>
      </c>
      <c r="B54" s="20">
        <f>SUM(B51,B52)</f>
        <v>184</v>
      </c>
      <c r="C54" s="20">
        <v>171</v>
      </c>
      <c r="D54" s="20">
        <f t="shared" ref="D54:E54" si="5">SUM(D51,D52)</f>
        <v>179</v>
      </c>
      <c r="E54" s="20">
        <f t="shared" si="5"/>
        <v>173</v>
      </c>
      <c r="F54" s="20"/>
      <c r="G54" s="20">
        <v>185</v>
      </c>
      <c r="H54" s="20">
        <v>191</v>
      </c>
      <c r="I54" s="20"/>
      <c r="J54" s="20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spans="1:23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spans="1:23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spans="1:23" x14ac:dyDescent="0.25">
      <c r="A57" s="14" t="s">
        <v>149</v>
      </c>
      <c r="B57" s="16" t="s">
        <v>57</v>
      </c>
      <c r="C57" s="16" t="s">
        <v>58</v>
      </c>
      <c r="D57" s="16" t="s">
        <v>59</v>
      </c>
      <c r="E57" s="16" t="s">
        <v>60</v>
      </c>
      <c r="F57" s="16" t="s">
        <v>186</v>
      </c>
      <c r="G57" s="16" t="s">
        <v>66</v>
      </c>
      <c r="H57" s="16" t="s">
        <v>64</v>
      </c>
      <c r="I57" s="44" t="s">
        <v>68</v>
      </c>
      <c r="J57" s="21" t="s">
        <v>102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spans="1:23" x14ac:dyDescent="0.25">
      <c r="A58" s="17" t="s">
        <v>150</v>
      </c>
      <c r="B58" s="19">
        <v>206.2</v>
      </c>
      <c r="C58" s="19">
        <v>428.1</v>
      </c>
      <c r="D58" s="19">
        <v>211</v>
      </c>
      <c r="E58" s="19">
        <v>234</v>
      </c>
      <c r="F58" s="19">
        <v>359.1</v>
      </c>
      <c r="G58" s="19">
        <v>299.3</v>
      </c>
      <c r="H58" s="19">
        <v>416.4</v>
      </c>
      <c r="I58" s="19">
        <v>427.3</v>
      </c>
      <c r="J58" s="18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spans="1:23" x14ac:dyDescent="0.25">
      <c r="A59" s="31" t="s">
        <v>135</v>
      </c>
      <c r="B59" s="46">
        <v>0</v>
      </c>
      <c r="C59" s="46">
        <v>0</v>
      </c>
      <c r="D59" s="46">
        <v>2</v>
      </c>
      <c r="E59" s="46">
        <v>0</v>
      </c>
      <c r="F59" s="46">
        <v>0</v>
      </c>
      <c r="G59" s="46">
        <v>0</v>
      </c>
      <c r="H59" s="46">
        <v>0</v>
      </c>
      <c r="I59" s="46">
        <v>0</v>
      </c>
      <c r="J59" s="32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spans="1:23" x14ac:dyDescent="0.25">
      <c r="A60" s="20" t="s">
        <v>151</v>
      </c>
      <c r="B60" s="20">
        <v>127</v>
      </c>
      <c r="C60" s="20">
        <v>175.6</v>
      </c>
      <c r="D60" s="20">
        <v>111.4</v>
      </c>
      <c r="E60" s="20">
        <v>144.5</v>
      </c>
      <c r="F60" s="20">
        <v>161.5</v>
      </c>
      <c r="G60" s="20">
        <v>137</v>
      </c>
      <c r="H60" s="20">
        <v>152</v>
      </c>
      <c r="I60" s="20">
        <v>170</v>
      </c>
      <c r="J60" s="32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spans="1:23" x14ac:dyDescent="0.25">
      <c r="A61" s="20" t="s">
        <v>152</v>
      </c>
      <c r="B61" s="20">
        <f t="shared" ref="B61:E61" si="6">2.5*B60</f>
        <v>317.5</v>
      </c>
      <c r="C61" s="20">
        <f t="shared" si="6"/>
        <v>439</v>
      </c>
      <c r="D61" s="20">
        <f t="shared" si="6"/>
        <v>278.5</v>
      </c>
      <c r="E61" s="20">
        <f t="shared" si="6"/>
        <v>361.25</v>
      </c>
      <c r="F61" s="20">
        <f t="shared" ref="F61:I61" si="7">(2.5*F60)</f>
        <v>403.75</v>
      </c>
      <c r="G61" s="20">
        <f t="shared" si="7"/>
        <v>342.5</v>
      </c>
      <c r="H61" s="20">
        <f t="shared" si="7"/>
        <v>380</v>
      </c>
      <c r="I61" s="20">
        <f t="shared" si="7"/>
        <v>425</v>
      </c>
      <c r="J61" s="32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spans="1:23" x14ac:dyDescent="0.25">
      <c r="A62" s="47" t="s">
        <v>153</v>
      </c>
      <c r="B62" s="48">
        <f t="shared" ref="B62:G62" si="8">B58/B61</f>
        <v>0.64944881889763773</v>
      </c>
      <c r="C62" s="48">
        <f t="shared" si="8"/>
        <v>0.97517084282460142</v>
      </c>
      <c r="D62" s="48">
        <f t="shared" si="8"/>
        <v>0.75763016157989227</v>
      </c>
      <c r="E62" s="48">
        <f t="shared" si="8"/>
        <v>0.64775086505190316</v>
      </c>
      <c r="F62" s="48">
        <f t="shared" si="8"/>
        <v>0.88941176470588246</v>
      </c>
      <c r="G62" s="48">
        <f t="shared" si="8"/>
        <v>0.87386861313868613</v>
      </c>
      <c r="H62" s="49"/>
      <c r="I62" s="49"/>
      <c r="J62" s="49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spans="1:23" x14ac:dyDescent="0.25">
      <c r="A63" s="50"/>
      <c r="B63" s="50"/>
      <c r="C63" s="50"/>
      <c r="D63" s="50"/>
      <c r="E63" s="50"/>
      <c r="F63" s="50"/>
      <c r="G63" s="50"/>
      <c r="H63" s="50"/>
      <c r="I63" s="50"/>
      <c r="J63" s="51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spans="1:23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spans="1:23" x14ac:dyDescent="0.25">
      <c r="A65" s="52" t="s">
        <v>154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spans="1:23" x14ac:dyDescent="0.25">
      <c r="A66" s="15" t="s">
        <v>155</v>
      </c>
      <c r="B66" s="16" t="s">
        <v>57</v>
      </c>
      <c r="C66" s="16" t="s">
        <v>58</v>
      </c>
      <c r="D66" s="16" t="s">
        <v>59</v>
      </c>
      <c r="E66" s="16" t="s">
        <v>60</v>
      </c>
      <c r="F66" s="16" t="s">
        <v>186</v>
      </c>
      <c r="G66" s="16" t="s">
        <v>66</v>
      </c>
      <c r="H66" s="16" t="s">
        <v>64</v>
      </c>
      <c r="I66" s="44" t="s">
        <v>68</v>
      </c>
      <c r="J66" s="21" t="s">
        <v>102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spans="1:23" x14ac:dyDescent="0.25">
      <c r="A67" s="17" t="s">
        <v>156</v>
      </c>
      <c r="B67" s="19" t="s">
        <v>157</v>
      </c>
      <c r="C67" s="19" t="s">
        <v>157</v>
      </c>
      <c r="D67" s="19" t="s">
        <v>157</v>
      </c>
      <c r="E67" s="19" t="s">
        <v>157</v>
      </c>
      <c r="F67" s="19" t="s">
        <v>157</v>
      </c>
      <c r="G67" s="19" t="s">
        <v>157</v>
      </c>
      <c r="H67" s="19" t="s">
        <v>157</v>
      </c>
      <c r="I67" s="18"/>
      <c r="J67" s="18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spans="1:23" x14ac:dyDescent="0.25">
      <c r="A68" s="17" t="s">
        <v>159</v>
      </c>
      <c r="B68" s="37">
        <v>0.125</v>
      </c>
      <c r="C68" s="37">
        <v>0.125</v>
      </c>
      <c r="D68" s="37">
        <v>0.125</v>
      </c>
      <c r="E68" s="37">
        <v>0.125</v>
      </c>
      <c r="F68" s="37">
        <v>6.25E-2</v>
      </c>
      <c r="G68" s="37">
        <v>0.125</v>
      </c>
      <c r="H68" s="37">
        <v>0.125</v>
      </c>
      <c r="I68" s="18"/>
      <c r="J68" s="18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spans="1:23" x14ac:dyDescent="0.25">
      <c r="A69" s="17" t="s">
        <v>128</v>
      </c>
      <c r="B69" s="19" t="s">
        <v>160</v>
      </c>
      <c r="C69" s="19" t="s">
        <v>160</v>
      </c>
      <c r="D69" s="19" t="s">
        <v>160</v>
      </c>
      <c r="E69" s="19" t="s">
        <v>160</v>
      </c>
      <c r="F69" s="19" t="s">
        <v>132</v>
      </c>
      <c r="G69" s="19" t="s">
        <v>132</v>
      </c>
      <c r="H69" s="19" t="s">
        <v>132</v>
      </c>
      <c r="I69" s="18"/>
      <c r="J69" s="18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spans="1:23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spans="1:23" x14ac:dyDescent="0.25">
      <c r="A71" s="15" t="s">
        <v>162</v>
      </c>
      <c r="B71" s="21"/>
      <c r="C71" s="21"/>
      <c r="D71" s="21"/>
      <c r="E71" s="21"/>
      <c r="F71" s="21"/>
      <c r="G71" s="21"/>
      <c r="H71" s="21"/>
      <c r="I71" s="21"/>
      <c r="J71" s="21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spans="1:23" x14ac:dyDescent="0.25">
      <c r="A72" s="17" t="s">
        <v>156</v>
      </c>
      <c r="B72" s="19" t="s">
        <v>157</v>
      </c>
      <c r="C72" s="19" t="s">
        <v>157</v>
      </c>
      <c r="D72" s="19" t="s">
        <v>158</v>
      </c>
      <c r="E72" s="19" t="s">
        <v>158</v>
      </c>
      <c r="F72" s="19" t="s">
        <v>157</v>
      </c>
      <c r="G72" s="19" t="s">
        <v>157</v>
      </c>
      <c r="H72" s="19" t="s">
        <v>157</v>
      </c>
      <c r="I72" s="18"/>
      <c r="J72" s="18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spans="1:23" x14ac:dyDescent="0.25">
      <c r="A73" s="17" t="s">
        <v>159</v>
      </c>
      <c r="B73" s="37">
        <v>4.1666666666666664E-2</v>
      </c>
      <c r="C73" s="37">
        <v>4.1666666666666664E-2</v>
      </c>
      <c r="D73" s="37">
        <v>4.2361111111111113E-2</v>
      </c>
      <c r="E73" s="37">
        <v>6.25E-2</v>
      </c>
      <c r="F73" s="37">
        <v>8.3333333333333329E-2</v>
      </c>
      <c r="G73" s="37">
        <v>7.3611111111111113E-2</v>
      </c>
      <c r="H73" s="37">
        <v>7.2222222222222215E-2</v>
      </c>
      <c r="I73" s="18"/>
      <c r="J73" s="18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spans="1:23" x14ac:dyDescent="0.25">
      <c r="A74" s="17" t="s">
        <v>128</v>
      </c>
      <c r="B74" s="19" t="s">
        <v>132</v>
      </c>
      <c r="C74" s="19" t="s">
        <v>132</v>
      </c>
      <c r="D74" s="19" t="s">
        <v>132</v>
      </c>
      <c r="E74" s="19" t="s">
        <v>132</v>
      </c>
      <c r="F74" s="19" t="s">
        <v>132</v>
      </c>
      <c r="G74" s="19" t="s">
        <v>132</v>
      </c>
      <c r="H74" s="13" t="s">
        <v>132</v>
      </c>
      <c r="I74" s="18"/>
      <c r="J74" s="18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spans="1:23" x14ac:dyDescent="0.25">
      <c r="A75" s="13"/>
      <c r="B75" s="13"/>
      <c r="C75" s="13"/>
      <c r="D75" s="13"/>
      <c r="E75" s="13"/>
      <c r="F75" s="13"/>
      <c r="G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spans="1:23" x14ac:dyDescent="0.25">
      <c r="A76" s="15" t="s">
        <v>165</v>
      </c>
      <c r="B76" s="21"/>
      <c r="C76" s="21"/>
      <c r="D76" s="21"/>
      <c r="E76" s="21"/>
      <c r="F76" s="21"/>
      <c r="G76" s="21"/>
      <c r="H76" s="21"/>
      <c r="I76" s="21"/>
      <c r="J76" s="21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spans="1:23" x14ac:dyDescent="0.25">
      <c r="A77" s="17" t="s">
        <v>156</v>
      </c>
      <c r="B77" s="19" t="s">
        <v>157</v>
      </c>
      <c r="C77" s="19" t="s">
        <v>157</v>
      </c>
      <c r="D77" s="19" t="s">
        <v>158</v>
      </c>
      <c r="E77" s="19" t="s">
        <v>158</v>
      </c>
      <c r="F77" s="19" t="s">
        <v>157</v>
      </c>
      <c r="G77" s="19" t="s">
        <v>157</v>
      </c>
      <c r="H77" s="19" t="s">
        <v>157</v>
      </c>
      <c r="I77" s="18"/>
      <c r="J77" s="18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spans="1:23" x14ac:dyDescent="0.25">
      <c r="A78" s="17" t="s">
        <v>159</v>
      </c>
      <c r="B78" s="37">
        <v>4.2361111111111113E-2</v>
      </c>
      <c r="C78" s="37">
        <v>4.3749999999999997E-2</v>
      </c>
      <c r="D78" s="37">
        <v>4.3055555555555555E-2</v>
      </c>
      <c r="E78" s="37">
        <v>5.5555555555555552E-2</v>
      </c>
      <c r="F78" s="37">
        <v>4.9305555555555554E-2</v>
      </c>
      <c r="G78" s="37">
        <v>7.2916666666666671E-2</v>
      </c>
      <c r="H78" s="37">
        <v>7.2916666666666671E-2</v>
      </c>
      <c r="I78" s="18"/>
      <c r="J78" s="18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spans="1:23" x14ac:dyDescent="0.25">
      <c r="A79" s="17" t="s">
        <v>128</v>
      </c>
      <c r="B79" s="19" t="s">
        <v>132</v>
      </c>
      <c r="C79" s="19" t="s">
        <v>132</v>
      </c>
      <c r="D79" s="19" t="s">
        <v>132</v>
      </c>
      <c r="E79" s="19" t="s">
        <v>132</v>
      </c>
      <c r="F79" s="19" t="s">
        <v>132</v>
      </c>
      <c r="G79" s="19" t="s">
        <v>132</v>
      </c>
      <c r="H79" s="19" t="s">
        <v>132</v>
      </c>
      <c r="I79" s="18"/>
      <c r="J79" s="18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spans="1:23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spans="1:23" x14ac:dyDescent="0.25">
      <c r="A81" s="15" t="s">
        <v>166</v>
      </c>
      <c r="B81" s="21"/>
      <c r="C81" s="21"/>
      <c r="D81" s="21"/>
      <c r="E81" s="21"/>
      <c r="F81" s="21"/>
      <c r="G81" s="21"/>
      <c r="H81" s="21"/>
      <c r="I81" s="21"/>
      <c r="J81" s="21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spans="1:23" x14ac:dyDescent="0.25">
      <c r="A82" s="17" t="s">
        <v>156</v>
      </c>
      <c r="B82" s="19" t="s">
        <v>158</v>
      </c>
      <c r="C82" s="19" t="s">
        <v>158</v>
      </c>
      <c r="D82" s="19" t="s">
        <v>158</v>
      </c>
      <c r="E82" s="19" t="s">
        <v>158</v>
      </c>
      <c r="F82" s="19" t="s">
        <v>158</v>
      </c>
      <c r="G82" s="19" t="s">
        <v>157</v>
      </c>
      <c r="H82" s="19" t="s">
        <v>157</v>
      </c>
      <c r="I82" s="18"/>
      <c r="J82" s="18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spans="1:23" x14ac:dyDescent="0.25">
      <c r="A83" s="17" t="s">
        <v>159</v>
      </c>
      <c r="B83" s="37">
        <v>6.25E-2</v>
      </c>
      <c r="C83" s="37">
        <v>7.2916666666666671E-2</v>
      </c>
      <c r="D83" s="37">
        <v>0.125</v>
      </c>
      <c r="E83" s="37">
        <v>0.10416666666666667</v>
      </c>
      <c r="F83" s="37">
        <v>5.1388888888888887E-2</v>
      </c>
      <c r="G83" s="37">
        <v>9.0277777777777776E-2</v>
      </c>
      <c r="H83" s="37">
        <v>8.6805555555555552E-2</v>
      </c>
      <c r="I83" s="18"/>
      <c r="J83" s="18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spans="1:23" x14ac:dyDescent="0.25">
      <c r="A84" s="17" t="s">
        <v>128</v>
      </c>
      <c r="B84" s="19" t="s">
        <v>200</v>
      </c>
      <c r="C84" s="19" t="s">
        <v>167</v>
      </c>
      <c r="D84" s="19" t="s">
        <v>160</v>
      </c>
      <c r="E84" s="19" t="s">
        <v>201</v>
      </c>
      <c r="F84" s="19" t="s">
        <v>132</v>
      </c>
      <c r="G84" s="19" t="s">
        <v>132</v>
      </c>
      <c r="H84" s="19" t="s">
        <v>132</v>
      </c>
      <c r="I84" s="18"/>
      <c r="J84" s="18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spans="1:23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spans="1:23" x14ac:dyDescent="0.25">
      <c r="A86" s="15" t="s">
        <v>169</v>
      </c>
      <c r="B86" s="21"/>
      <c r="C86" s="21"/>
      <c r="D86" s="21"/>
      <c r="E86" s="21"/>
      <c r="F86" s="21"/>
      <c r="G86" s="21"/>
      <c r="H86" s="21"/>
      <c r="I86" s="21"/>
      <c r="J86" s="21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spans="1:23" x14ac:dyDescent="0.25">
      <c r="A87" s="17" t="s">
        <v>170</v>
      </c>
      <c r="B87" s="40">
        <f t="shared" ref="B87:J87" si="9">B68/B83</f>
        <v>2</v>
      </c>
      <c r="C87" s="40">
        <f t="shared" si="9"/>
        <v>1.7142857142857142</v>
      </c>
      <c r="D87" s="40">
        <f t="shared" si="9"/>
        <v>1</v>
      </c>
      <c r="E87" s="40">
        <f t="shared" si="9"/>
        <v>1.2</v>
      </c>
      <c r="F87" s="40">
        <f t="shared" si="9"/>
        <v>1.2162162162162162</v>
      </c>
      <c r="G87" s="40">
        <f t="shared" si="9"/>
        <v>1.3846153846153846</v>
      </c>
      <c r="H87" s="40">
        <f t="shared" si="9"/>
        <v>1.44</v>
      </c>
      <c r="I87" s="40" t="e">
        <f t="shared" si="9"/>
        <v>#DIV/0!</v>
      </c>
      <c r="J87" s="40" t="e">
        <f t="shared" si="9"/>
        <v>#DIV/0!</v>
      </c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spans="1:23" x14ac:dyDescent="0.25">
      <c r="A88" s="17" t="s">
        <v>171</v>
      </c>
      <c r="B88" s="40">
        <f t="shared" ref="B88:J88" si="10">IF(B73&gt;B78,B78/B73,B73/B78)</f>
        <v>0.98360655737704905</v>
      </c>
      <c r="C88" s="40">
        <f t="shared" si="10"/>
        <v>0.95238095238095244</v>
      </c>
      <c r="D88" s="40">
        <f t="shared" si="10"/>
        <v>0.9838709677419355</v>
      </c>
      <c r="E88" s="40">
        <f t="shared" si="10"/>
        <v>0.88888888888888884</v>
      </c>
      <c r="F88" s="40">
        <f t="shared" si="10"/>
        <v>0.59166666666666667</v>
      </c>
      <c r="G88" s="40">
        <f t="shared" si="10"/>
        <v>0.99056603773584906</v>
      </c>
      <c r="H88" s="40">
        <f t="shared" si="10"/>
        <v>0.99047619047619029</v>
      </c>
      <c r="I88" s="40" t="e">
        <f t="shared" si="10"/>
        <v>#DIV/0!</v>
      </c>
      <c r="J88" s="40" t="e">
        <f t="shared" si="10"/>
        <v>#DIV/0!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spans="1:23" x14ac:dyDescent="0.25">
      <c r="A89" s="17" t="s">
        <v>172</v>
      </c>
      <c r="B89" s="40">
        <f t="shared" ref="B89:J89" si="11">B73/B83</f>
        <v>0.66666666666666663</v>
      </c>
      <c r="C89" s="40">
        <f t="shared" si="11"/>
        <v>0.5714285714285714</v>
      </c>
      <c r="D89" s="40">
        <f t="shared" si="11"/>
        <v>0.33888888888888891</v>
      </c>
      <c r="E89" s="40">
        <f t="shared" si="11"/>
        <v>0.6</v>
      </c>
      <c r="F89" s="40">
        <f t="shared" si="11"/>
        <v>1.6216216216216215</v>
      </c>
      <c r="G89" s="40">
        <f t="shared" si="11"/>
        <v>0.81538461538461537</v>
      </c>
      <c r="H89" s="40">
        <f t="shared" si="11"/>
        <v>0.83199999999999996</v>
      </c>
      <c r="I89" s="40" t="e">
        <f t="shared" si="11"/>
        <v>#DIV/0!</v>
      </c>
      <c r="J89" s="40" t="e">
        <f t="shared" si="11"/>
        <v>#DIV/0!</v>
      </c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spans="1:23" x14ac:dyDescent="0.25">
      <c r="A90" s="17" t="s">
        <v>173</v>
      </c>
      <c r="B90" s="40">
        <f t="shared" ref="B90:J90" si="12">B78/B83</f>
        <v>0.67777777777777781</v>
      </c>
      <c r="C90" s="40">
        <f t="shared" si="12"/>
        <v>0.6</v>
      </c>
      <c r="D90" s="40">
        <f t="shared" si="12"/>
        <v>0.34444444444444444</v>
      </c>
      <c r="E90" s="40">
        <f t="shared" si="12"/>
        <v>0.53333333333333333</v>
      </c>
      <c r="F90" s="40">
        <f t="shared" si="12"/>
        <v>0.95945945945945943</v>
      </c>
      <c r="G90" s="40">
        <f t="shared" si="12"/>
        <v>0.80769230769230771</v>
      </c>
      <c r="H90" s="40">
        <f t="shared" si="12"/>
        <v>0.84000000000000008</v>
      </c>
      <c r="I90" s="40" t="e">
        <f t="shared" si="12"/>
        <v>#DIV/0!</v>
      </c>
      <c r="J90" s="40" t="e">
        <f t="shared" si="12"/>
        <v>#DIV/0!</v>
      </c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spans="1:23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spans="1:23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spans="1:23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spans="1:23" x14ac:dyDescent="0.25">
      <c r="A94" s="15" t="s">
        <v>202</v>
      </c>
      <c r="B94" s="16" t="s">
        <v>57</v>
      </c>
      <c r="C94" s="16" t="s">
        <v>58</v>
      </c>
      <c r="D94" s="16" t="s">
        <v>59</v>
      </c>
      <c r="E94" s="16" t="s">
        <v>60</v>
      </c>
      <c r="F94" s="16" t="s">
        <v>186</v>
      </c>
      <c r="G94" s="16" t="s">
        <v>66</v>
      </c>
      <c r="H94" s="16" t="s">
        <v>64</v>
      </c>
      <c r="I94" s="44" t="s">
        <v>68</v>
      </c>
      <c r="J94" s="21" t="s">
        <v>102</v>
      </c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spans="1:23" x14ac:dyDescent="0.25">
      <c r="A95" s="13" t="s">
        <v>203</v>
      </c>
      <c r="B95" s="20">
        <v>5</v>
      </c>
      <c r="C95" s="20">
        <v>6</v>
      </c>
      <c r="D95" s="20">
        <v>7</v>
      </c>
      <c r="E95" s="20">
        <v>6</v>
      </c>
      <c r="F95" s="20">
        <v>9</v>
      </c>
      <c r="G95" s="20">
        <v>2</v>
      </c>
      <c r="H95" s="20">
        <v>7.75</v>
      </c>
      <c r="I95" s="20">
        <v>8.75</v>
      </c>
      <c r="J95" s="32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spans="1:23" x14ac:dyDescent="0.25">
      <c r="A96" s="13" t="s">
        <v>204</v>
      </c>
      <c r="B96" s="20">
        <v>14</v>
      </c>
      <c r="C96" s="20">
        <v>10</v>
      </c>
      <c r="D96" s="20">
        <v>7</v>
      </c>
      <c r="E96" s="20">
        <v>3</v>
      </c>
      <c r="F96" s="20">
        <v>2</v>
      </c>
      <c r="G96" s="20">
        <v>14</v>
      </c>
      <c r="H96" s="20">
        <v>10</v>
      </c>
      <c r="I96" s="20">
        <v>13</v>
      </c>
      <c r="J96" s="32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spans="1:23" x14ac:dyDescent="0.25">
      <c r="A97" s="13" t="s">
        <v>205</v>
      </c>
      <c r="B97" s="20">
        <v>2.56</v>
      </c>
      <c r="C97" s="20">
        <v>2.41</v>
      </c>
      <c r="D97" s="20">
        <v>2.5499999999999998</v>
      </c>
      <c r="E97" s="20">
        <v>2.7</v>
      </c>
      <c r="F97" s="20">
        <v>2.36</v>
      </c>
      <c r="G97" s="20">
        <v>2.25</v>
      </c>
      <c r="H97" s="20">
        <v>2.23</v>
      </c>
      <c r="I97" s="26" t="s">
        <v>179</v>
      </c>
      <c r="J97" s="32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spans="1:23" x14ac:dyDescent="0.25">
      <c r="A98" s="13" t="s">
        <v>206</v>
      </c>
      <c r="B98" s="20">
        <v>23.75</v>
      </c>
      <c r="C98" s="20">
        <v>27.75</v>
      </c>
      <c r="D98" s="20">
        <v>22.25</v>
      </c>
      <c r="E98" s="20">
        <v>20.75</v>
      </c>
      <c r="F98" s="20">
        <v>30</v>
      </c>
      <c r="G98" s="20">
        <v>27.75</v>
      </c>
      <c r="H98" s="20">
        <v>32.25</v>
      </c>
      <c r="I98" s="26" t="s">
        <v>179</v>
      </c>
      <c r="J98" s="32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spans="1:2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spans="1:2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spans="1:23" x14ac:dyDescent="0.25">
      <c r="A101" s="13" t="s">
        <v>182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spans="1:23" x14ac:dyDescent="0.25">
      <c r="A102" s="13" t="s">
        <v>183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spans="1:23" x14ac:dyDescent="0.25">
      <c r="A103" s="42" t="s">
        <v>184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spans="1:2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spans="1:2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spans="1:2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spans="1:2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spans="1:2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spans="1:2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spans="1:2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spans="1:2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spans="1:2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spans="1:2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spans="1:2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spans="1:2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spans="1:2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spans="1:2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spans="1:2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spans="1:2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spans="1:2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spans="1:2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spans="1:2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spans="1:2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spans="1:2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spans="1:2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spans="1:2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spans="1:2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spans="1:2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spans="1:2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spans="1:2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spans="1:2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spans="1:2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spans="1:2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spans="1:2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spans="1:2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spans="1:2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spans="1:2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spans="1:2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spans="1:2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spans="1:2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spans="1:2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spans="1:2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spans="1:2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spans="1:2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spans="1:2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spans="1:2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spans="1:2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spans="1:2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spans="1:2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spans="1:2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spans="1:2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spans="1:2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spans="1:2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spans="1:2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spans="1:2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spans="1:2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spans="1:2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spans="1:2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spans="1:2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spans="1:2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spans="1:2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spans="1:2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spans="1:2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spans="1:2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spans="1:2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spans="1:2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spans="1:2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spans="1:2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spans="1:2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spans="1:2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spans="1:2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spans="1:2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spans="1:2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spans="1:2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spans="1:2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spans="1:2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spans="1:2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spans="1:2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spans="1:2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spans="1:2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spans="1:2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spans="1:2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spans="1:2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spans="1:2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spans="1:2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spans="1:2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spans="1:2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spans="1:2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spans="1:2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spans="1:2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spans="1:2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spans="1:2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spans="1:2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spans="1:2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spans="1:2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spans="1:2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spans="1:2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spans="1:2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spans="1:2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spans="1:2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spans="1:2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spans="1:2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spans="1:2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spans="1:2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spans="1:2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spans="1:2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spans="1:2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spans="1:2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spans="1:2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spans="1:2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spans="1:2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spans="1:2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spans="1:2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spans="1:2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spans="1:2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spans="1:2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spans="1:2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spans="1:2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spans="1:2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spans="1:2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spans="1:2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 spans="1:2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 spans="1:2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 spans="1:2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 spans="1:2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 spans="1:2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 spans="1:2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 spans="1:2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 spans="1:2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 spans="1:2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 spans="1:2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 spans="1:2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 spans="1:2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spans="1:2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 spans="1:2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 spans="1:2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 spans="1:2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 spans="1:2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 spans="1:23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 spans="1:23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 spans="1:23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 spans="1:23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 spans="1:23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 spans="1:23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 spans="1:23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 spans="1:23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 spans="1:23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 spans="1:23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 spans="1:23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 spans="1:23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 spans="1:23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 spans="1:23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 spans="1:23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 spans="1:23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 spans="1:23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 spans="1:23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 spans="1:23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 spans="1:23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 spans="1:23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 spans="1:23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 spans="1:23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 spans="1:23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 spans="1:23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 spans="1:23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 spans="1:23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 spans="1:23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 spans="1:23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 spans="1:23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 spans="1:23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 spans="1:23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 spans="1:23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 spans="1:23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 spans="1:23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 spans="1:23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 spans="1:23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 spans="1:23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 spans="1:23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 spans="1:23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 spans="1:23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 spans="1:23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 spans="1:23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 spans="1:23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 spans="1:23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 spans="1:23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 spans="1:23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 spans="1:23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 spans="1:23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 spans="1:23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 spans="1:23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 spans="1:23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 spans="1:23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 spans="1:23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 spans="1:23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 spans="1:23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 spans="1:23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 spans="1:23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 spans="1:23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 spans="1:23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 spans="1:23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 spans="1:23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 spans="1:23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 spans="1:23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 spans="1:23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 spans="1:23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 spans="1:23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 spans="1:23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 spans="1:23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 spans="1:23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 spans="1:23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 spans="1:23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 spans="1:23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 spans="1:23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 spans="1:23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 spans="1:23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 spans="1:23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 spans="1:23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 spans="1:23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 spans="1:23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 spans="1:23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 spans="1:23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 spans="1:23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 spans="1:23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 spans="1:23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 spans="1:23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 spans="1:23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 spans="1:23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 spans="1:23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 spans="1:23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 spans="1:23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 spans="1:23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 spans="1:23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 spans="1:23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 spans="1:23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 spans="1:23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 spans="1:23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 spans="1:23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 spans="1:23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 spans="1:23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 spans="1:23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 spans="1:23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 spans="1:23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 spans="1:23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 spans="1:23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 spans="1:23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 spans="1:23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 spans="1:23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 spans="1:23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 spans="1:23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 spans="1:23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 spans="1:23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 spans="1:23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 spans="1:23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 spans="1:23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 spans="1:23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 spans="1:23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 spans="1:23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 spans="1:23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 spans="1:23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 spans="1:23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 spans="1:23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 spans="1:23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 spans="1:23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 spans="1:23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 spans="1:23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 spans="1:23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 spans="1:23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 spans="1:23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 spans="1:23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 spans="1:23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 spans="1:23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 spans="1:23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 spans="1:23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 spans="1:23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 spans="1:23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 spans="1:23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 spans="1:23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 spans="1:23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 spans="1:23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 spans="1:23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 spans="1:23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 spans="1:23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 spans="1:23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 spans="1:23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 spans="1:23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 spans="1:23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 spans="1:23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 spans="1:23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 spans="1:23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 spans="1:23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 spans="1:23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 spans="1:23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 spans="1:23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 spans="1:23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 spans="1:23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 spans="1:23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 spans="1:23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 spans="1:23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 spans="1:23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 spans="1:23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 spans="1:23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 spans="1:23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 spans="1:23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 spans="1:23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 spans="1:23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 spans="1:23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 spans="1:23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 spans="1:23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 spans="1:23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 spans="1:23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 spans="1:23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 spans="1:23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 spans="1:23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 spans="1:23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 spans="1:23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 spans="1:23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 spans="1:23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 spans="1:23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 spans="1:23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 spans="1:23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 spans="1:23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 spans="1:23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 spans="1:23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 spans="1:23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 spans="1:23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 spans="1:23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 spans="1:23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 spans="1:23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 spans="1:23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 spans="1:23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 spans="1:23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 spans="1:23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 spans="1:23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 spans="1:23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 spans="1:23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 spans="1:23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 spans="1:23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 spans="1:23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 spans="1:23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 spans="1:23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 spans="1:23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 spans="1:23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 spans="1:23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 spans="1:23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 spans="1:23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 spans="1:23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 spans="1:23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 spans="1:23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 spans="1:23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 spans="1:23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 spans="1:23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 spans="1:23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 spans="1:23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 spans="1:23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 spans="1:23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 spans="1:23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 spans="1:23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 spans="1:23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 spans="1:23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 spans="1:23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 spans="1:23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 spans="1:23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 spans="1:23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 spans="1:23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 spans="1:23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 spans="1:23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 spans="1:23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 spans="1:23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 spans="1:23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 spans="1:23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 spans="1:23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 spans="1:23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 spans="1:23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 spans="1:23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 spans="1:23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 spans="1:23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 spans="1:23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 spans="1:23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 spans="1:23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 spans="1:23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 spans="1:23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 spans="1:23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 spans="1:23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 spans="1:23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 spans="1:23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 spans="1:23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 spans="1:23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 spans="1:23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 spans="1:23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 spans="1:23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 spans="1:23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 spans="1:23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 spans="1:23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 spans="1:23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 spans="1:23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 spans="1:23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 spans="1:23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 spans="1:23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 spans="1:23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 spans="1:23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 spans="1:23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 spans="1:23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 spans="1:23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 spans="1:23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 spans="1:23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 spans="1:23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 spans="1:23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 spans="1:23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 spans="1:23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 spans="1:23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 spans="1:23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 spans="1:23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 spans="1:23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 spans="1:23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 spans="1:23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 spans="1:23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 spans="1:23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 spans="1:23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 spans="1:23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 spans="1:23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 spans="1:23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 spans="1:23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 spans="1:23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 spans="1:23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 spans="1:23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 spans="1:23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 spans="1:23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 spans="1:23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 spans="1:23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 spans="1:23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 spans="1:23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 spans="1:23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 spans="1:23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 spans="1:23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 spans="1:23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 spans="1:23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 spans="1:23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 spans="1:23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 spans="1:23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 spans="1:23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 spans="1:23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 spans="1:23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 spans="1:23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 spans="1:23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 spans="1:23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 spans="1:23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 spans="1:23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 spans="1:23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 spans="1:23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 spans="1:23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 spans="1:23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 spans="1:23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 spans="1:23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 spans="1:23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 spans="1:23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 spans="1:23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 spans="1:23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 spans="1:23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 spans="1:23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 spans="1:23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 spans="1:23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 spans="1:23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 spans="1:23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 spans="1:23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 spans="1:23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 spans="1:23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 spans="1:23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 spans="1:23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 spans="1:23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 spans="1:23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 spans="1:23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 spans="1:23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 spans="1:23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 spans="1:23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 spans="1:23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 spans="1:23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 spans="1:23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 spans="1:23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 spans="1:23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 spans="1:23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 spans="1:23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 spans="1:23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 spans="1:23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 spans="1:23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 spans="1:23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 spans="1:23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 spans="1:23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 spans="1:23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 spans="1:23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 spans="1:23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 spans="1:23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 spans="1:23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 spans="1:23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 spans="1:23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 spans="1:23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 spans="1:23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 spans="1:23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 spans="1:23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 spans="1:23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 spans="1:23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 spans="1:23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 spans="1:23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 spans="1:23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 spans="1:23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 spans="1:23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 spans="1:23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 spans="1:23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 spans="1:23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 spans="1:23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 spans="1:23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 spans="1:23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 spans="1:23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 spans="1:23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 spans="1:23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 spans="1:23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 spans="1:23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 spans="1:23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 spans="1:23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 spans="1:23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 spans="1:23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 spans="1:23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 spans="1:23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 spans="1:23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 spans="1:23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 spans="1:23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 spans="1:23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 spans="1:23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 spans="1:23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 spans="1:23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 spans="1:23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 spans="1:23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 spans="1:23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 spans="1:23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 spans="1:23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 spans="1:23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 spans="1:23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 spans="1:23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 spans="1:23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 spans="1:23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 spans="1:23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 spans="1:23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 spans="1:23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 spans="1:23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 spans="1:23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 spans="1:23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 spans="1:23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 spans="1:23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 spans="1:23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 spans="1:23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 spans="1:23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 spans="1:23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 spans="1:23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 spans="1:23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 spans="1:23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 spans="1:23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 spans="1:23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 spans="1:23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 spans="1:23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 spans="1:23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 spans="1:23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 spans="1:23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 spans="1:23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 spans="1:23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 spans="1:23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 spans="1:23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 spans="1:23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</row>
    <row r="666" spans="1:23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</row>
    <row r="667" spans="1:23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</row>
    <row r="668" spans="1:23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</row>
    <row r="669" spans="1:23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</row>
    <row r="670" spans="1:23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 spans="1:23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</row>
    <row r="672" spans="1:23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</row>
    <row r="673" spans="1:23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</row>
    <row r="674" spans="1:23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</row>
    <row r="675" spans="1:23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</row>
    <row r="676" spans="1:23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</row>
    <row r="677" spans="1:23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</row>
    <row r="678" spans="1:23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</row>
    <row r="679" spans="1:23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</row>
    <row r="680" spans="1:23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</row>
    <row r="681" spans="1:23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</row>
    <row r="682" spans="1:23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</row>
    <row r="683" spans="1:23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</row>
    <row r="684" spans="1:23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</row>
    <row r="685" spans="1:23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</row>
    <row r="686" spans="1:23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</row>
    <row r="687" spans="1:23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</row>
    <row r="688" spans="1:23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</row>
    <row r="689" spans="1:23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</row>
    <row r="690" spans="1:23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</row>
    <row r="691" spans="1:23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</row>
    <row r="692" spans="1:23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</row>
    <row r="693" spans="1:23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</row>
    <row r="694" spans="1:23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</row>
    <row r="695" spans="1:23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</row>
    <row r="696" spans="1:23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</row>
    <row r="697" spans="1:23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</row>
    <row r="698" spans="1:23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</row>
    <row r="699" spans="1:23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</row>
    <row r="700" spans="1:23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</row>
    <row r="701" spans="1:23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</row>
    <row r="702" spans="1:23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</row>
    <row r="703" spans="1:23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</row>
    <row r="704" spans="1:23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</row>
    <row r="705" spans="1:23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</row>
    <row r="706" spans="1:23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</row>
    <row r="707" spans="1:23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</row>
    <row r="708" spans="1:23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</row>
    <row r="709" spans="1:23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</row>
    <row r="710" spans="1:23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</row>
    <row r="711" spans="1:23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</row>
    <row r="712" spans="1:23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</row>
    <row r="713" spans="1:23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</row>
    <row r="714" spans="1:23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</row>
    <row r="715" spans="1:23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</row>
    <row r="716" spans="1:23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</row>
    <row r="717" spans="1:23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</row>
    <row r="718" spans="1:23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</row>
    <row r="719" spans="1:23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</row>
    <row r="720" spans="1:23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</row>
    <row r="721" spans="1:23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</row>
    <row r="722" spans="1:23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</row>
    <row r="723" spans="1:23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</row>
    <row r="724" spans="1:23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</row>
    <row r="725" spans="1:23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</row>
    <row r="726" spans="1:23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</row>
    <row r="727" spans="1:23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</row>
    <row r="728" spans="1:23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</row>
    <row r="729" spans="1:23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</row>
    <row r="730" spans="1:23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</row>
    <row r="731" spans="1:23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</row>
    <row r="732" spans="1:23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</row>
    <row r="733" spans="1:23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</row>
    <row r="734" spans="1:23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</row>
    <row r="735" spans="1:23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</row>
    <row r="736" spans="1:23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</row>
    <row r="737" spans="1:23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</row>
    <row r="738" spans="1:23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</row>
    <row r="739" spans="1:23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</row>
    <row r="740" spans="1:23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</row>
    <row r="741" spans="1:23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</row>
    <row r="742" spans="1:23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</row>
    <row r="743" spans="1:23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</row>
    <row r="744" spans="1:23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</row>
    <row r="745" spans="1:23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</row>
    <row r="746" spans="1:23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</row>
    <row r="747" spans="1:23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</row>
    <row r="748" spans="1:23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</row>
    <row r="749" spans="1:23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</row>
    <row r="750" spans="1:23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</row>
    <row r="751" spans="1:23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</row>
    <row r="752" spans="1:23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</row>
    <row r="753" spans="1:23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 spans="1:23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</row>
    <row r="755" spans="1:23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</row>
    <row r="756" spans="1:23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</row>
    <row r="757" spans="1:23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</row>
    <row r="758" spans="1:23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</row>
    <row r="759" spans="1:23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</row>
    <row r="760" spans="1:23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</row>
    <row r="761" spans="1:23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</row>
    <row r="762" spans="1:23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</row>
    <row r="763" spans="1:23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</row>
    <row r="764" spans="1:23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</row>
    <row r="765" spans="1:23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</row>
    <row r="766" spans="1:23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</row>
    <row r="767" spans="1:23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</row>
    <row r="768" spans="1:23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</row>
    <row r="769" spans="1:23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</row>
    <row r="770" spans="1:23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</row>
    <row r="771" spans="1:23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</row>
    <row r="772" spans="1:23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</row>
    <row r="773" spans="1:23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</row>
    <row r="774" spans="1:23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</row>
    <row r="775" spans="1:23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</row>
    <row r="776" spans="1:23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</row>
    <row r="777" spans="1:23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</row>
    <row r="778" spans="1:23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</row>
    <row r="779" spans="1:23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</row>
    <row r="780" spans="1:23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</row>
    <row r="781" spans="1:23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</row>
    <row r="782" spans="1:23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</row>
    <row r="783" spans="1:23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 spans="1:23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</row>
    <row r="785" spans="1:23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</row>
    <row r="786" spans="1:23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</row>
    <row r="787" spans="1:23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</row>
    <row r="788" spans="1:23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</row>
    <row r="789" spans="1:23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</row>
    <row r="790" spans="1:23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</row>
    <row r="791" spans="1:23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</row>
    <row r="792" spans="1:23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</row>
    <row r="793" spans="1:23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</row>
    <row r="794" spans="1:23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</row>
    <row r="795" spans="1:23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 spans="1:23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 spans="1:23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</row>
    <row r="798" spans="1:23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</row>
    <row r="799" spans="1:23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</row>
    <row r="800" spans="1:23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 spans="1:23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 spans="1:23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 spans="1:23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 spans="1:23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 spans="1:23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 spans="1:23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 spans="1:23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 spans="1:23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</row>
    <row r="809" spans="1:23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</row>
    <row r="810" spans="1:23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</row>
    <row r="811" spans="1:23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</row>
    <row r="812" spans="1:23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</row>
    <row r="813" spans="1:23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</row>
    <row r="814" spans="1:23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</row>
    <row r="815" spans="1:23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</row>
    <row r="816" spans="1:23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</row>
    <row r="817" spans="1:23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</row>
    <row r="818" spans="1:23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</row>
    <row r="819" spans="1:23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</row>
    <row r="820" spans="1:23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</row>
    <row r="821" spans="1:23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</row>
    <row r="822" spans="1:23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</row>
    <row r="823" spans="1:23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</row>
    <row r="824" spans="1:23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</row>
    <row r="825" spans="1:23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</row>
    <row r="826" spans="1:23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</row>
    <row r="827" spans="1:23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</row>
    <row r="828" spans="1:23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</row>
    <row r="829" spans="1:23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</row>
    <row r="830" spans="1:23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</row>
    <row r="831" spans="1:23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</row>
    <row r="832" spans="1:23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</row>
    <row r="833" spans="1:23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</row>
    <row r="834" spans="1:23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</row>
    <row r="835" spans="1:23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</row>
    <row r="836" spans="1:23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</row>
    <row r="837" spans="1:23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</row>
    <row r="838" spans="1:23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</row>
    <row r="839" spans="1:23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</row>
    <row r="840" spans="1:23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</row>
    <row r="841" spans="1:23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</row>
    <row r="842" spans="1:23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</row>
    <row r="843" spans="1:23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</row>
    <row r="844" spans="1:23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</row>
    <row r="845" spans="1:23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</row>
    <row r="846" spans="1:23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</row>
    <row r="847" spans="1:23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</row>
    <row r="848" spans="1:23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</row>
    <row r="849" spans="1:23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</row>
    <row r="850" spans="1:23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</row>
    <row r="851" spans="1:23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</row>
    <row r="852" spans="1:23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</row>
    <row r="853" spans="1:23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</row>
    <row r="854" spans="1:23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</row>
    <row r="855" spans="1:23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</row>
    <row r="856" spans="1:23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</row>
    <row r="857" spans="1:23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</row>
    <row r="858" spans="1:23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</row>
    <row r="859" spans="1:23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</row>
    <row r="860" spans="1:23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</row>
    <row r="861" spans="1:23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</row>
    <row r="862" spans="1:23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</row>
    <row r="863" spans="1:23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</row>
    <row r="864" spans="1:23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</row>
    <row r="865" spans="1:23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</row>
    <row r="866" spans="1:23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</row>
    <row r="867" spans="1:23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</row>
    <row r="868" spans="1:23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</row>
    <row r="869" spans="1:23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</row>
    <row r="870" spans="1:23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</row>
    <row r="871" spans="1:23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 spans="1:23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</row>
    <row r="873" spans="1:23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</row>
    <row r="874" spans="1:23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</row>
    <row r="875" spans="1:23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</row>
    <row r="876" spans="1:23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</row>
    <row r="877" spans="1:23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</row>
    <row r="878" spans="1:23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</row>
    <row r="879" spans="1:23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</row>
    <row r="880" spans="1:23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</row>
    <row r="881" spans="1:23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</row>
    <row r="882" spans="1:23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</row>
    <row r="883" spans="1:23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</row>
    <row r="884" spans="1:23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</row>
    <row r="885" spans="1:23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</row>
    <row r="886" spans="1:23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</row>
    <row r="887" spans="1:23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</row>
    <row r="888" spans="1:23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</row>
    <row r="889" spans="1:23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</row>
    <row r="890" spans="1:23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</row>
    <row r="891" spans="1:23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</row>
    <row r="892" spans="1:23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</row>
    <row r="893" spans="1:23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</row>
    <row r="894" spans="1:23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</row>
    <row r="895" spans="1:23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</row>
    <row r="896" spans="1:23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</row>
    <row r="897" spans="1:23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</row>
    <row r="898" spans="1:23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</row>
    <row r="899" spans="1:23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</row>
    <row r="900" spans="1:23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</row>
    <row r="901" spans="1:23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</row>
    <row r="902" spans="1:23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</row>
    <row r="903" spans="1:23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</row>
    <row r="904" spans="1:23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</row>
    <row r="905" spans="1:23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</row>
    <row r="906" spans="1:23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</row>
    <row r="907" spans="1:23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</row>
    <row r="908" spans="1:23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</row>
    <row r="909" spans="1:23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</row>
    <row r="910" spans="1:23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</row>
    <row r="911" spans="1:23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</row>
    <row r="912" spans="1:23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</row>
    <row r="913" spans="1:23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</row>
    <row r="914" spans="1:23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</row>
    <row r="915" spans="1:23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</row>
    <row r="916" spans="1:23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</row>
    <row r="917" spans="1:23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</row>
    <row r="918" spans="1:23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</row>
    <row r="919" spans="1:23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</row>
    <row r="920" spans="1:23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</row>
    <row r="921" spans="1:23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</row>
    <row r="922" spans="1:23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</row>
    <row r="923" spans="1:23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</row>
    <row r="924" spans="1:23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</row>
    <row r="925" spans="1:23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</row>
    <row r="926" spans="1:23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</row>
    <row r="927" spans="1:23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</row>
    <row r="928" spans="1:23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</row>
    <row r="929" spans="1:23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</row>
    <row r="930" spans="1:23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</row>
    <row r="931" spans="1:23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</row>
    <row r="932" spans="1:23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</row>
    <row r="933" spans="1:23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</row>
    <row r="934" spans="1:23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</row>
    <row r="935" spans="1:23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</row>
    <row r="936" spans="1:23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</row>
    <row r="937" spans="1:23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</row>
    <row r="938" spans="1:23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</row>
    <row r="939" spans="1:23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</row>
    <row r="940" spans="1:23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</row>
    <row r="941" spans="1:23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</row>
    <row r="942" spans="1:23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</row>
    <row r="943" spans="1:23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</row>
    <row r="944" spans="1:23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</row>
    <row r="945" spans="1:23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</row>
    <row r="946" spans="1:23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</row>
    <row r="947" spans="1:23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</row>
    <row r="948" spans="1:23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</row>
    <row r="949" spans="1:23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</row>
    <row r="950" spans="1:23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</row>
    <row r="951" spans="1:23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</row>
    <row r="952" spans="1:23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</row>
    <row r="953" spans="1:23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</row>
    <row r="954" spans="1:23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</row>
    <row r="955" spans="1:23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</row>
    <row r="956" spans="1:23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</row>
    <row r="957" spans="1:23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</row>
    <row r="958" spans="1:23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</row>
    <row r="959" spans="1:23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</row>
    <row r="960" spans="1:23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</row>
    <row r="961" spans="1:23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</row>
    <row r="962" spans="1:23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</row>
    <row r="963" spans="1:23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</row>
    <row r="964" spans="1:23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</row>
    <row r="965" spans="1:23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</row>
    <row r="966" spans="1:23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</row>
    <row r="967" spans="1:23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</row>
    <row r="968" spans="1:23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</row>
    <row r="969" spans="1:23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</row>
    <row r="970" spans="1:23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</row>
    <row r="971" spans="1:23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</row>
    <row r="972" spans="1:23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</row>
    <row r="973" spans="1:23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</row>
    <row r="974" spans="1:23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</row>
    <row r="975" spans="1:23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</row>
    <row r="976" spans="1:23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</row>
    <row r="977" spans="1:23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</row>
    <row r="978" spans="1:23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</row>
    <row r="979" spans="1:23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</row>
    <row r="980" spans="1:23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</row>
    <row r="981" spans="1:23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</row>
    <row r="982" spans="1:23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</row>
    <row r="983" spans="1:23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</row>
    <row r="984" spans="1:23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</row>
    <row r="985" spans="1:23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</row>
    <row r="986" spans="1:23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</row>
    <row r="987" spans="1:23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</row>
    <row r="988" spans="1:23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</row>
    <row r="989" spans="1:23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</row>
    <row r="990" spans="1:23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</row>
    <row r="991" spans="1:23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</row>
    <row r="992" spans="1:23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</row>
    <row r="993" spans="1:23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</row>
    <row r="994" spans="1:23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</row>
    <row r="995" spans="1:23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</row>
    <row r="996" spans="1:23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</row>
    <row r="997" spans="1:23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</row>
    <row r="998" spans="1:23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</row>
    <row r="999" spans="1:23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</row>
    <row r="1000" spans="1:23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</row>
    <row r="1001" spans="1:23" x14ac:dyDescent="0.2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</row>
    <row r="1002" spans="1:23" x14ac:dyDescent="0.25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</row>
    <row r="1003" spans="1:23" x14ac:dyDescent="0.25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</row>
    <row r="1004" spans="1:23" x14ac:dyDescent="0.25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</row>
    <row r="1005" spans="1:23" x14ac:dyDescent="0.2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</row>
    <row r="1006" spans="1:23" x14ac:dyDescent="0.25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</row>
    <row r="1007" spans="1:23" x14ac:dyDescent="0.25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</row>
    <row r="1008" spans="1:23" x14ac:dyDescent="0.25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</row>
    <row r="1009" spans="1:23" x14ac:dyDescent="0.25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</row>
    <row r="1010" spans="1:23" x14ac:dyDescent="0.25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</row>
    <row r="1011" spans="1:23" x14ac:dyDescent="0.25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</row>
    <row r="1012" spans="1:23" x14ac:dyDescent="0.25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</row>
    <row r="1013" spans="1:23" x14ac:dyDescent="0.25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</row>
  </sheetData>
  <conditionalFormatting sqref="A101">
    <cfRule type="notContainsBlanks" dxfId="243" priority="3">
      <formula>LEN(TRIM(A101))&gt;0</formula>
    </cfRule>
  </conditionalFormatting>
  <conditionalFormatting sqref="A102">
    <cfRule type="notContainsBlanks" dxfId="242" priority="2">
      <formula>LEN(TRIM(A102))&gt;0</formula>
    </cfRule>
  </conditionalFormatting>
  <conditionalFormatting sqref="A103">
    <cfRule type="notContainsBlanks" dxfId="241" priority="1">
      <formula>LEN(TRIM(A103))&gt;0</formula>
    </cfRule>
  </conditionalFormatting>
  <conditionalFormatting sqref="B58">
    <cfRule type="cellIs" dxfId="240" priority="34" operator="greaterThanOrEqual">
      <formula>317.5</formula>
    </cfRule>
    <cfRule type="cellIs" dxfId="239" priority="35" operator="lessThan">
      <formula>317.5</formula>
    </cfRule>
  </conditionalFormatting>
  <conditionalFormatting sqref="B98:E98">
    <cfRule type="notContainsBlanks" dxfId="238" priority="48">
      <formula>LEN(TRIM(B98))&gt;0</formula>
    </cfRule>
  </conditionalFormatting>
  <conditionalFormatting sqref="B48:H48">
    <cfRule type="cellIs" dxfId="237" priority="24" operator="greaterThanOrEqual">
      <formula>180</formula>
    </cfRule>
    <cfRule type="cellIs" dxfId="236" priority="25" operator="lessThan">
      <formula>180</formula>
    </cfRule>
  </conditionalFormatting>
  <conditionalFormatting sqref="B54:H54">
    <cfRule type="cellIs" dxfId="235" priority="26" operator="greaterThanOrEqual">
      <formula>180</formula>
    </cfRule>
    <cfRule type="cellIs" dxfId="234" priority="27" operator="lessThan">
      <formula>180</formula>
    </cfRule>
  </conditionalFormatting>
  <conditionalFormatting sqref="B68:H68">
    <cfRule type="cellIs" dxfId="233" priority="28" operator="greaterThanOrEqual">
      <formula>"3:00"</formula>
    </cfRule>
  </conditionalFormatting>
  <conditionalFormatting sqref="B73:H73">
    <cfRule type="cellIs" dxfId="232" priority="29" operator="greaterThanOrEqual">
      <formula>"2:00"</formula>
    </cfRule>
  </conditionalFormatting>
  <conditionalFormatting sqref="B78:H78">
    <cfRule type="cellIs" dxfId="231" priority="30" operator="greaterThanOrEqual">
      <formula>"2:00"</formula>
    </cfRule>
  </conditionalFormatting>
  <conditionalFormatting sqref="B83:H83">
    <cfRule type="cellIs" dxfId="230" priority="31" operator="greaterThanOrEqual">
      <formula>"3:00"</formula>
    </cfRule>
  </conditionalFormatting>
  <conditionalFormatting sqref="B7:J7">
    <cfRule type="cellIs" dxfId="229" priority="16" operator="greaterThan">
      <formula>0</formula>
    </cfRule>
  </conditionalFormatting>
  <conditionalFormatting sqref="B11:J11">
    <cfRule type="cellIs" dxfId="228" priority="17" operator="greaterThan">
      <formula>0</formula>
    </cfRule>
  </conditionalFormatting>
  <conditionalFormatting sqref="B16:J16">
    <cfRule type="cellIs" dxfId="227" priority="18" operator="greaterThan">
      <formula>0</formula>
    </cfRule>
  </conditionalFormatting>
  <conditionalFormatting sqref="B20:J20">
    <cfRule type="cellIs" dxfId="226" priority="19" operator="greaterThan">
      <formula>0</formula>
    </cfRule>
  </conditionalFormatting>
  <conditionalFormatting sqref="B23:J24">
    <cfRule type="cellIs" dxfId="225" priority="4" operator="lessThanOrEqual">
      <formula>6</formula>
    </cfRule>
    <cfRule type="cellIs" dxfId="224" priority="5" operator="greaterThan">
      <formula>6</formula>
    </cfRule>
  </conditionalFormatting>
  <conditionalFormatting sqref="B31:J31">
    <cfRule type="cellIs" dxfId="223" priority="20" operator="greaterThan">
      <formula>0</formula>
    </cfRule>
  </conditionalFormatting>
  <conditionalFormatting sqref="B36:J36">
    <cfRule type="cellIs" dxfId="222" priority="21" operator="greaterThan">
      <formula>0</formula>
    </cfRule>
  </conditionalFormatting>
  <conditionalFormatting sqref="B39:J39">
    <cfRule type="cellIs" dxfId="221" priority="6" operator="greaterThan">
      <formula>10</formula>
    </cfRule>
    <cfRule type="cellIs" dxfId="220" priority="7" operator="lessThanOrEqual">
      <formula>10</formula>
    </cfRule>
  </conditionalFormatting>
  <conditionalFormatting sqref="B40:J40">
    <cfRule type="cellIs" dxfId="219" priority="8" operator="lessThan">
      <formula>"90%"</formula>
    </cfRule>
    <cfRule type="cellIs" dxfId="218" priority="9" operator="greaterThanOrEqual">
      <formula>"90%"</formula>
    </cfRule>
  </conditionalFormatting>
  <conditionalFormatting sqref="B87:J87">
    <cfRule type="cellIs" dxfId="217" priority="10" operator="lessThan">
      <formula>0.8</formula>
    </cfRule>
    <cfRule type="cellIs" dxfId="216" priority="11" operator="greaterThanOrEqual">
      <formula>0.8</formula>
    </cfRule>
  </conditionalFormatting>
  <conditionalFormatting sqref="B88:J88">
    <cfRule type="cellIs" dxfId="215" priority="12" operator="greaterThanOrEqual">
      <formula>0.75</formula>
    </cfRule>
    <cfRule type="cellIs" dxfId="214" priority="13" operator="lessThan">
      <formula>0.75</formula>
    </cfRule>
  </conditionalFormatting>
  <conditionalFormatting sqref="B89:J90">
    <cfRule type="cellIs" dxfId="213" priority="14" operator="greaterThanOrEqual">
      <formula>0.5</formula>
    </cfRule>
    <cfRule type="cellIs" dxfId="212" priority="15" operator="lessThan">
      <formula>0.5</formula>
    </cfRule>
  </conditionalFormatting>
  <conditionalFormatting sqref="C58">
    <cfRule type="cellIs" dxfId="211" priority="36" operator="greaterThanOrEqual">
      <formula>439</formula>
    </cfRule>
    <cfRule type="cellIs" dxfId="210" priority="37" operator="lessThan">
      <formula>439</formula>
    </cfRule>
  </conditionalFormatting>
  <conditionalFormatting sqref="D58">
    <cfRule type="cellIs" dxfId="209" priority="38" operator="greaterThanOrEqual">
      <formula>278.5</formula>
    </cfRule>
    <cfRule type="cellIs" dxfId="208" priority="39" operator="lessThan">
      <formula>278.5</formula>
    </cfRule>
  </conditionalFormatting>
  <conditionalFormatting sqref="D59">
    <cfRule type="cellIs" dxfId="207" priority="52" operator="greaterThan">
      <formula>0</formula>
    </cfRule>
  </conditionalFormatting>
  <conditionalFormatting sqref="E58">
    <cfRule type="cellIs" dxfId="206" priority="40" operator="greaterThanOrEqual">
      <formula>361.25</formula>
    </cfRule>
    <cfRule type="cellIs" dxfId="205" priority="41" operator="lessThan">
      <formula>361.25</formula>
    </cfRule>
  </conditionalFormatting>
  <conditionalFormatting sqref="F58">
    <cfRule type="cellIs" dxfId="204" priority="32" operator="greaterThanOrEqual">
      <formula>403.75</formula>
    </cfRule>
    <cfRule type="cellIs" dxfId="203" priority="33" operator="lessThan">
      <formula>403.75</formula>
    </cfRule>
  </conditionalFormatting>
  <conditionalFormatting sqref="F98">
    <cfRule type="notContainsBlanks" dxfId="202" priority="49">
      <formula>LEN(TRIM(F98))&gt;0</formula>
    </cfRule>
  </conditionalFormatting>
  <conditionalFormatting sqref="G58">
    <cfRule type="cellIs" dxfId="201" priority="42" operator="greaterThanOrEqual">
      <formula>342.5</formula>
    </cfRule>
    <cfRule type="cellIs" dxfId="200" priority="43" operator="lessThan">
      <formula>342.5</formula>
    </cfRule>
  </conditionalFormatting>
  <conditionalFormatting sqref="G98">
    <cfRule type="notContainsBlanks" dxfId="199" priority="51">
      <formula>LEN(TRIM(G98))&gt;0</formula>
    </cfRule>
  </conditionalFormatting>
  <conditionalFormatting sqref="H58">
    <cfRule type="cellIs" dxfId="198" priority="44" operator="greaterThanOrEqual">
      <formula>380</formula>
    </cfRule>
    <cfRule type="cellIs" dxfId="197" priority="45" operator="lessThan">
      <formula>380</formula>
    </cfRule>
  </conditionalFormatting>
  <conditionalFormatting sqref="H98">
    <cfRule type="notContainsBlanks" dxfId="196" priority="50">
      <formula>LEN(TRIM(H98))&gt;0</formula>
    </cfRule>
  </conditionalFormatting>
  <conditionalFormatting sqref="I58">
    <cfRule type="cellIs" dxfId="195" priority="46" operator="greaterThanOrEqual">
      <formula>425</formula>
    </cfRule>
    <cfRule type="cellIs" dxfId="194" priority="47" operator="lessThan">
      <formula>425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15"/>
  <sheetViews>
    <sheetView workbookViewId="0">
      <selection activeCell="N1" sqref="N1:N1048576"/>
    </sheetView>
  </sheetViews>
  <sheetFormatPr defaultColWidth="12.6640625" defaultRowHeight="15.75" customHeight="1" x14ac:dyDescent="0.25"/>
  <cols>
    <col min="1" max="1" width="28.109375" customWidth="1"/>
    <col min="9" max="9" width="16.33203125" customWidth="1"/>
  </cols>
  <sheetData>
    <row r="1" spans="1:25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x14ac:dyDescent="0.25">
      <c r="A3" s="14" t="s">
        <v>103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x14ac:dyDescent="0.25">
      <c r="A4" s="15" t="s">
        <v>104</v>
      </c>
      <c r="B4" s="16" t="s">
        <v>86</v>
      </c>
      <c r="C4" s="16" t="s">
        <v>87</v>
      </c>
      <c r="D4" s="16" t="s">
        <v>88</v>
      </c>
      <c r="E4" s="16" t="s">
        <v>89</v>
      </c>
      <c r="F4" s="16" t="s">
        <v>91</v>
      </c>
      <c r="G4" s="16" t="s">
        <v>90</v>
      </c>
      <c r="H4" s="16" t="s">
        <v>92</v>
      </c>
      <c r="I4" s="16" t="s">
        <v>99</v>
      </c>
      <c r="J4" s="16" t="s">
        <v>94</v>
      </c>
      <c r="K4" s="16" t="s">
        <v>95</v>
      </c>
      <c r="L4" s="21" t="s">
        <v>93</v>
      </c>
      <c r="M4" s="13" t="s">
        <v>97</v>
      </c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x14ac:dyDescent="0.25">
      <c r="A5" s="17" t="s">
        <v>107</v>
      </c>
      <c r="B5" s="19">
        <v>30</v>
      </c>
      <c r="C5" s="19" t="s">
        <v>187</v>
      </c>
      <c r="D5" s="19">
        <v>39</v>
      </c>
      <c r="E5" s="19">
        <v>20</v>
      </c>
      <c r="F5" s="19">
        <v>33</v>
      </c>
      <c r="G5" s="19">
        <v>43</v>
      </c>
      <c r="H5" s="19">
        <v>33</v>
      </c>
      <c r="I5" s="19">
        <v>38</v>
      </c>
      <c r="J5" s="19">
        <v>33</v>
      </c>
      <c r="K5" s="19">
        <v>35</v>
      </c>
      <c r="L5" s="19">
        <v>22</v>
      </c>
      <c r="M5" s="20">
        <v>23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x14ac:dyDescent="0.25">
      <c r="A6" s="17" t="s">
        <v>108</v>
      </c>
      <c r="B6" s="19" t="s">
        <v>111</v>
      </c>
      <c r="C6" s="19" t="s">
        <v>187</v>
      </c>
      <c r="D6" s="19" t="s">
        <v>111</v>
      </c>
      <c r="E6" s="19" t="s">
        <v>111</v>
      </c>
      <c r="F6" s="19" t="s">
        <v>111</v>
      </c>
      <c r="G6" s="19" t="s">
        <v>111</v>
      </c>
      <c r="H6" s="19" t="s">
        <v>113</v>
      </c>
      <c r="I6" s="19" t="s">
        <v>111</v>
      </c>
      <c r="J6" s="19" t="s">
        <v>111</v>
      </c>
      <c r="K6" s="19" t="s">
        <v>111</v>
      </c>
      <c r="L6" s="19" t="s">
        <v>111</v>
      </c>
      <c r="M6" s="20" t="s">
        <v>111</v>
      </c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x14ac:dyDescent="0.25">
      <c r="A7" s="17" t="s">
        <v>114</v>
      </c>
      <c r="B7" s="19" t="s">
        <v>113</v>
      </c>
      <c r="C7" s="19" t="s">
        <v>187</v>
      </c>
      <c r="D7" s="19" t="s">
        <v>113</v>
      </c>
      <c r="E7" s="19" t="s">
        <v>113</v>
      </c>
      <c r="F7" s="19" t="s">
        <v>113</v>
      </c>
      <c r="G7" s="19" t="s">
        <v>113</v>
      </c>
      <c r="H7" s="19" t="s">
        <v>113</v>
      </c>
      <c r="I7" s="19" t="s">
        <v>113</v>
      </c>
      <c r="J7" s="19" t="s">
        <v>113</v>
      </c>
      <c r="K7" s="19" t="s">
        <v>113</v>
      </c>
      <c r="L7" s="19" t="s">
        <v>113</v>
      </c>
      <c r="M7" s="20" t="s">
        <v>113</v>
      </c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x14ac:dyDescent="0.25">
      <c r="A9" s="17" t="s">
        <v>115</v>
      </c>
      <c r="B9" s="19">
        <v>34</v>
      </c>
      <c r="C9" s="19" t="s">
        <v>187</v>
      </c>
      <c r="D9" s="19">
        <v>42</v>
      </c>
      <c r="E9" s="19">
        <v>41</v>
      </c>
      <c r="F9" s="19">
        <v>43</v>
      </c>
      <c r="G9" s="19">
        <v>45</v>
      </c>
      <c r="H9" s="19">
        <v>39</v>
      </c>
      <c r="I9" s="19">
        <v>50</v>
      </c>
      <c r="J9" s="19">
        <v>37</v>
      </c>
      <c r="K9" s="19">
        <v>38</v>
      </c>
      <c r="L9" s="19">
        <v>27</v>
      </c>
      <c r="M9" s="20">
        <v>24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x14ac:dyDescent="0.25">
      <c r="A10" s="17" t="s">
        <v>108</v>
      </c>
      <c r="B10" s="19" t="s">
        <v>190</v>
      </c>
      <c r="C10" s="19" t="s">
        <v>187</v>
      </c>
      <c r="D10" s="19" t="s">
        <v>109</v>
      </c>
      <c r="E10" s="19" t="s">
        <v>111</v>
      </c>
      <c r="F10" s="19" t="s">
        <v>113</v>
      </c>
      <c r="G10" s="19" t="s">
        <v>113</v>
      </c>
      <c r="H10" s="19" t="s">
        <v>113</v>
      </c>
      <c r="I10" s="19" t="s">
        <v>109</v>
      </c>
      <c r="J10" s="19" t="s">
        <v>109</v>
      </c>
      <c r="K10" s="19" t="s">
        <v>111</v>
      </c>
      <c r="L10" s="19" t="s">
        <v>109</v>
      </c>
      <c r="M10" s="20" t="s">
        <v>112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x14ac:dyDescent="0.25">
      <c r="A11" s="17" t="s">
        <v>114</v>
      </c>
      <c r="B11" s="19">
        <v>4</v>
      </c>
      <c r="C11" s="19" t="s">
        <v>187</v>
      </c>
      <c r="D11" s="19" t="s">
        <v>113</v>
      </c>
      <c r="E11" s="19" t="s">
        <v>113</v>
      </c>
      <c r="F11" s="19" t="s">
        <v>113</v>
      </c>
      <c r="G11" s="19" t="s">
        <v>113</v>
      </c>
      <c r="H11" s="19" t="s">
        <v>113</v>
      </c>
      <c r="I11" s="19">
        <v>1</v>
      </c>
      <c r="J11" s="19" t="s">
        <v>113</v>
      </c>
      <c r="K11" s="19" t="s">
        <v>113</v>
      </c>
      <c r="L11" s="19">
        <v>5</v>
      </c>
      <c r="M11" s="20">
        <v>3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x14ac:dyDescent="0.25">
      <c r="A13" s="15" t="s">
        <v>121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x14ac:dyDescent="0.25">
      <c r="A14" s="17" t="s">
        <v>107</v>
      </c>
      <c r="B14" s="19">
        <v>31</v>
      </c>
      <c r="C14" s="19">
        <v>39</v>
      </c>
      <c r="D14" s="19">
        <v>30</v>
      </c>
      <c r="E14" s="19">
        <v>27</v>
      </c>
      <c r="F14" s="19">
        <v>33</v>
      </c>
      <c r="G14" s="19">
        <v>35</v>
      </c>
      <c r="H14" s="19">
        <v>35</v>
      </c>
      <c r="I14" s="19">
        <v>36</v>
      </c>
      <c r="J14" s="19">
        <v>27</v>
      </c>
      <c r="K14" s="19">
        <v>27</v>
      </c>
      <c r="L14" s="19">
        <v>30</v>
      </c>
      <c r="M14" s="20">
        <v>26</v>
      </c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x14ac:dyDescent="0.25">
      <c r="A15" s="17" t="s">
        <v>108</v>
      </c>
      <c r="B15" s="19" t="s">
        <v>111</v>
      </c>
      <c r="C15" s="19" t="s">
        <v>207</v>
      </c>
      <c r="D15" s="19" t="s">
        <v>208</v>
      </c>
      <c r="E15" s="19" t="s">
        <v>111</v>
      </c>
      <c r="F15" s="19" t="s">
        <v>111</v>
      </c>
      <c r="G15" s="19" t="s">
        <v>111</v>
      </c>
      <c r="H15" s="19" t="s">
        <v>113</v>
      </c>
      <c r="I15" s="19" t="s">
        <v>111</v>
      </c>
      <c r="J15" s="19" t="s">
        <v>111</v>
      </c>
      <c r="K15" s="19" t="s">
        <v>209</v>
      </c>
      <c r="L15" s="19" t="s">
        <v>111</v>
      </c>
      <c r="M15" s="20" t="s">
        <v>111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x14ac:dyDescent="0.25">
      <c r="A16" s="17" t="s">
        <v>114</v>
      </c>
      <c r="B16" s="19" t="s">
        <v>113</v>
      </c>
      <c r="C16" s="19">
        <v>6</v>
      </c>
      <c r="D16" s="19" t="s">
        <v>113</v>
      </c>
      <c r="E16" s="19" t="s">
        <v>113</v>
      </c>
      <c r="F16" s="19" t="s">
        <v>113</v>
      </c>
      <c r="G16" s="19" t="s">
        <v>113</v>
      </c>
      <c r="H16" s="19" t="s">
        <v>113</v>
      </c>
      <c r="I16" s="19" t="s">
        <v>113</v>
      </c>
      <c r="J16" s="19" t="s">
        <v>113</v>
      </c>
      <c r="K16" s="19">
        <v>4</v>
      </c>
      <c r="L16" s="19" t="s">
        <v>113</v>
      </c>
      <c r="M16" s="20" t="s">
        <v>113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x14ac:dyDescent="0.25">
      <c r="A18" s="17" t="s">
        <v>115</v>
      </c>
      <c r="B18" s="19">
        <v>39</v>
      </c>
      <c r="C18" s="19">
        <v>34</v>
      </c>
      <c r="D18" s="19">
        <v>32</v>
      </c>
      <c r="E18" s="19">
        <v>44</v>
      </c>
      <c r="F18" s="19">
        <v>42</v>
      </c>
      <c r="G18" s="19">
        <v>43</v>
      </c>
      <c r="H18" s="19">
        <v>38</v>
      </c>
      <c r="I18" s="19">
        <v>47</v>
      </c>
      <c r="J18" s="19">
        <v>29</v>
      </c>
      <c r="K18" s="19">
        <v>30</v>
      </c>
      <c r="L18" s="19">
        <v>32</v>
      </c>
      <c r="M18" s="20">
        <v>31</v>
      </c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x14ac:dyDescent="0.25">
      <c r="A19" s="17" t="s">
        <v>108</v>
      </c>
      <c r="B19" s="19" t="s">
        <v>113</v>
      </c>
      <c r="C19" s="19" t="s">
        <v>193</v>
      </c>
      <c r="D19" s="19" t="s">
        <v>208</v>
      </c>
      <c r="E19" s="19" t="s">
        <v>111</v>
      </c>
      <c r="F19" s="19" t="s">
        <v>113</v>
      </c>
      <c r="G19" s="19" t="s">
        <v>113</v>
      </c>
      <c r="H19" s="19" t="s">
        <v>113</v>
      </c>
      <c r="I19" s="19" t="s">
        <v>113</v>
      </c>
      <c r="J19" s="19" t="s">
        <v>109</v>
      </c>
      <c r="K19" s="19" t="s">
        <v>209</v>
      </c>
      <c r="L19" s="19" t="s">
        <v>210</v>
      </c>
      <c r="M19" s="20" t="s">
        <v>112</v>
      </c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x14ac:dyDescent="0.25">
      <c r="A20" s="17" t="s">
        <v>114</v>
      </c>
      <c r="B20" s="19" t="s">
        <v>113</v>
      </c>
      <c r="C20" s="19">
        <v>2</v>
      </c>
      <c r="D20" s="19" t="s">
        <v>113</v>
      </c>
      <c r="E20" s="19" t="s">
        <v>113</v>
      </c>
      <c r="F20" s="19" t="s">
        <v>113</v>
      </c>
      <c r="G20" s="19" t="s">
        <v>113</v>
      </c>
      <c r="H20" s="19" t="s">
        <v>113</v>
      </c>
      <c r="I20" s="19" t="s">
        <v>113</v>
      </c>
      <c r="J20" s="19" t="s">
        <v>113</v>
      </c>
      <c r="K20" s="19">
        <v>6</v>
      </c>
      <c r="L20" s="19">
        <v>6</v>
      </c>
      <c r="M20" s="20">
        <v>4</v>
      </c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x14ac:dyDescent="0.25">
      <c r="A22" s="15" t="s">
        <v>123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x14ac:dyDescent="0.25">
      <c r="A23" s="17" t="s">
        <v>124</v>
      </c>
      <c r="B23" s="45">
        <f>IF(B5&gt;B14,B5-B14,B14-B5)</f>
        <v>1</v>
      </c>
      <c r="C23" s="45"/>
      <c r="D23" s="45">
        <f t="shared" ref="D23:M23" si="0">IF(D5&gt;D14,D5-D14,D14-D5)</f>
        <v>9</v>
      </c>
      <c r="E23" s="45">
        <f t="shared" si="0"/>
        <v>7</v>
      </c>
      <c r="F23" s="45">
        <f t="shared" si="0"/>
        <v>0</v>
      </c>
      <c r="G23" s="45">
        <f t="shared" si="0"/>
        <v>8</v>
      </c>
      <c r="H23" s="45">
        <f t="shared" si="0"/>
        <v>2</v>
      </c>
      <c r="I23" s="45">
        <f t="shared" si="0"/>
        <v>2</v>
      </c>
      <c r="J23" s="45">
        <f t="shared" si="0"/>
        <v>6</v>
      </c>
      <c r="K23" s="45">
        <f t="shared" si="0"/>
        <v>8</v>
      </c>
      <c r="L23" s="45">
        <f t="shared" si="0"/>
        <v>8</v>
      </c>
      <c r="M23" s="53">
        <f t="shared" si="0"/>
        <v>3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x14ac:dyDescent="0.25">
      <c r="A24" s="54" t="s">
        <v>125</v>
      </c>
      <c r="B24" s="45">
        <f>IF(B9&gt;B18,B9-B18,B18-B9)</f>
        <v>5</v>
      </c>
      <c r="C24" s="55"/>
      <c r="D24" s="55">
        <f t="shared" ref="D24:M24" si="1">IF(D9&gt;D18,D9-D18,D18-D9)</f>
        <v>10</v>
      </c>
      <c r="E24" s="55">
        <f t="shared" si="1"/>
        <v>3</v>
      </c>
      <c r="F24" s="55">
        <f t="shared" si="1"/>
        <v>1</v>
      </c>
      <c r="G24" s="55">
        <f t="shared" si="1"/>
        <v>2</v>
      </c>
      <c r="H24" s="55">
        <f t="shared" si="1"/>
        <v>1</v>
      </c>
      <c r="I24" s="55">
        <f t="shared" si="1"/>
        <v>3</v>
      </c>
      <c r="J24" s="55">
        <f t="shared" si="1"/>
        <v>8</v>
      </c>
      <c r="K24" s="55">
        <f t="shared" si="1"/>
        <v>8</v>
      </c>
      <c r="L24" s="55">
        <f t="shared" si="1"/>
        <v>5</v>
      </c>
      <c r="M24" s="56">
        <f t="shared" si="1"/>
        <v>7</v>
      </c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x14ac:dyDescent="0.25">
      <c r="A25" s="50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x14ac:dyDescent="0.25">
      <c r="A27" s="13"/>
      <c r="B27" s="13"/>
      <c r="C27" s="27"/>
      <c r="D27" s="13"/>
      <c r="E27" s="13"/>
      <c r="F27" s="13"/>
      <c r="G27" s="13"/>
      <c r="H27" s="13"/>
      <c r="I27" s="13"/>
      <c r="J27" s="13"/>
      <c r="K27" s="13"/>
      <c r="L27" s="27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x14ac:dyDescent="0.25">
      <c r="A30" s="14" t="s">
        <v>126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x14ac:dyDescent="0.25">
      <c r="A31" s="15" t="s">
        <v>104</v>
      </c>
      <c r="B31" s="16" t="s">
        <v>86</v>
      </c>
      <c r="C31" s="16" t="s">
        <v>87</v>
      </c>
      <c r="D31" s="16" t="s">
        <v>88</v>
      </c>
      <c r="E31" s="16" t="s">
        <v>89</v>
      </c>
      <c r="F31" s="16" t="s">
        <v>91</v>
      </c>
      <c r="G31" s="16" t="s">
        <v>90</v>
      </c>
      <c r="H31" s="16" t="s">
        <v>92</v>
      </c>
      <c r="I31" s="16" t="s">
        <v>99</v>
      </c>
      <c r="J31" s="16" t="s">
        <v>94</v>
      </c>
      <c r="K31" s="16" t="s">
        <v>95</v>
      </c>
      <c r="L31" s="21" t="s">
        <v>93</v>
      </c>
      <c r="M31" s="13" t="s">
        <v>97</v>
      </c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x14ac:dyDescent="0.25">
      <c r="A32" s="17" t="s">
        <v>127</v>
      </c>
      <c r="B32" s="19">
        <v>40</v>
      </c>
      <c r="C32" s="19">
        <v>43</v>
      </c>
      <c r="D32" s="19">
        <v>20</v>
      </c>
      <c r="E32" s="19">
        <v>40</v>
      </c>
      <c r="F32" s="19">
        <v>55</v>
      </c>
      <c r="G32" s="19">
        <v>60</v>
      </c>
      <c r="H32" s="19">
        <v>40</v>
      </c>
      <c r="I32" s="19">
        <v>60</v>
      </c>
      <c r="J32" s="19">
        <v>20</v>
      </c>
      <c r="K32" s="19">
        <v>44</v>
      </c>
      <c r="L32" s="19">
        <v>60</v>
      </c>
      <c r="M32" s="20">
        <v>50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x14ac:dyDescent="0.25">
      <c r="A33" s="28" t="s">
        <v>128</v>
      </c>
      <c r="B33" s="19" t="s">
        <v>132</v>
      </c>
      <c r="C33" s="19" t="s">
        <v>211</v>
      </c>
      <c r="D33" s="19" t="s">
        <v>132</v>
      </c>
      <c r="E33" s="19" t="s">
        <v>132</v>
      </c>
      <c r="F33" s="19" t="s">
        <v>132</v>
      </c>
      <c r="G33" s="19" t="s">
        <v>129</v>
      </c>
      <c r="H33" s="19" t="s">
        <v>132</v>
      </c>
      <c r="I33" s="19" t="s">
        <v>129</v>
      </c>
      <c r="J33" s="19" t="s">
        <v>132</v>
      </c>
      <c r="K33" s="19" t="s">
        <v>132</v>
      </c>
      <c r="L33" s="19" t="s">
        <v>129</v>
      </c>
      <c r="M33" s="20" t="s">
        <v>212</v>
      </c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x14ac:dyDescent="0.25">
      <c r="A34" s="28" t="s">
        <v>135</v>
      </c>
      <c r="B34" s="19" t="s">
        <v>113</v>
      </c>
      <c r="C34" s="19">
        <v>4</v>
      </c>
      <c r="D34" s="19"/>
      <c r="E34" s="19" t="s">
        <v>113</v>
      </c>
      <c r="F34" s="19" t="s">
        <v>113</v>
      </c>
      <c r="G34" s="19" t="s">
        <v>113</v>
      </c>
      <c r="H34" s="19" t="s">
        <v>113</v>
      </c>
      <c r="I34" s="19" t="s">
        <v>113</v>
      </c>
      <c r="J34" s="19" t="s">
        <v>113</v>
      </c>
      <c r="K34" s="19" t="s">
        <v>113</v>
      </c>
      <c r="L34" s="19" t="s">
        <v>113</v>
      </c>
      <c r="M34" s="20" t="s">
        <v>113</v>
      </c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x14ac:dyDescent="0.25">
      <c r="A36" s="15" t="s">
        <v>121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x14ac:dyDescent="0.25">
      <c r="A37" s="17" t="s">
        <v>127</v>
      </c>
      <c r="B37" s="19">
        <v>60</v>
      </c>
      <c r="C37" s="19">
        <v>43</v>
      </c>
      <c r="D37" s="19">
        <v>26</v>
      </c>
      <c r="E37" s="19">
        <v>40</v>
      </c>
      <c r="F37" s="19">
        <v>46</v>
      </c>
      <c r="G37" s="19">
        <v>60</v>
      </c>
      <c r="H37" s="19">
        <v>30</v>
      </c>
      <c r="I37" s="19">
        <v>40</v>
      </c>
      <c r="J37" s="19">
        <v>21</v>
      </c>
      <c r="K37" s="19">
        <v>60</v>
      </c>
      <c r="L37" s="19">
        <v>60</v>
      </c>
      <c r="M37" s="20">
        <v>60</v>
      </c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x14ac:dyDescent="0.25">
      <c r="A38" s="28" t="s">
        <v>136</v>
      </c>
      <c r="B38" s="19" t="s">
        <v>132</v>
      </c>
      <c r="C38" s="19" t="s">
        <v>132</v>
      </c>
      <c r="D38" s="19" t="s">
        <v>132</v>
      </c>
      <c r="E38" s="19" t="s">
        <v>132</v>
      </c>
      <c r="F38" s="19" t="s">
        <v>132</v>
      </c>
      <c r="G38" s="19" t="s">
        <v>129</v>
      </c>
      <c r="H38" s="19" t="s">
        <v>132</v>
      </c>
      <c r="I38" s="19" t="s">
        <v>132</v>
      </c>
      <c r="J38" s="19" t="s">
        <v>132</v>
      </c>
      <c r="K38" s="19" t="s">
        <v>132</v>
      </c>
      <c r="L38" s="19" t="s">
        <v>129</v>
      </c>
      <c r="M38" s="57" t="s">
        <v>212</v>
      </c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x14ac:dyDescent="0.25">
      <c r="A39" s="28" t="s">
        <v>135</v>
      </c>
      <c r="B39" s="19" t="s">
        <v>113</v>
      </c>
      <c r="C39" s="19" t="s">
        <v>113</v>
      </c>
      <c r="D39" s="19"/>
      <c r="E39" s="19" t="s">
        <v>113</v>
      </c>
      <c r="F39" s="19" t="s">
        <v>113</v>
      </c>
      <c r="G39" s="19" t="s">
        <v>113</v>
      </c>
      <c r="H39" s="19" t="s">
        <v>113</v>
      </c>
      <c r="I39" s="19" t="s">
        <v>113</v>
      </c>
      <c r="J39" s="19" t="s">
        <v>113</v>
      </c>
      <c r="K39" s="19" t="s">
        <v>113</v>
      </c>
      <c r="L39" s="19" t="s">
        <v>113</v>
      </c>
      <c r="M39" s="20" t="s">
        <v>113</v>
      </c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x14ac:dyDescent="0.25">
      <c r="A40" s="13" t="s">
        <v>213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x14ac:dyDescent="0.25">
      <c r="A41" s="30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x14ac:dyDescent="0.25">
      <c r="A42" s="15" t="s">
        <v>123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x14ac:dyDescent="0.25">
      <c r="A43" s="17" t="s">
        <v>140</v>
      </c>
      <c r="B43" s="22">
        <f t="shared" ref="B43:M43" si="2">IF(B32&gt;B37,B32-B37,B37-B32)</f>
        <v>20</v>
      </c>
      <c r="C43" s="22">
        <f t="shared" si="2"/>
        <v>0</v>
      </c>
      <c r="D43" s="22">
        <f t="shared" si="2"/>
        <v>6</v>
      </c>
      <c r="E43" s="22">
        <f t="shared" si="2"/>
        <v>0</v>
      </c>
      <c r="F43" s="22">
        <f t="shared" si="2"/>
        <v>9</v>
      </c>
      <c r="G43" s="22">
        <f t="shared" si="2"/>
        <v>0</v>
      </c>
      <c r="H43" s="22">
        <f t="shared" si="2"/>
        <v>10</v>
      </c>
      <c r="I43" s="22">
        <f t="shared" si="2"/>
        <v>20</v>
      </c>
      <c r="J43" s="22">
        <f t="shared" si="2"/>
        <v>1</v>
      </c>
      <c r="K43" s="22">
        <f t="shared" si="2"/>
        <v>16</v>
      </c>
      <c r="L43" s="22">
        <f t="shared" si="2"/>
        <v>0</v>
      </c>
      <c r="M43" s="23">
        <f t="shared" si="2"/>
        <v>10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x14ac:dyDescent="0.25">
      <c r="A44" s="17" t="s">
        <v>141</v>
      </c>
      <c r="B44" s="29">
        <f t="shared" ref="B44:M44" si="3">IF(B32&lt;B37,B32/B37,B37/B32)</f>
        <v>0.66666666666666663</v>
      </c>
      <c r="C44" s="29">
        <f t="shared" si="3"/>
        <v>1</v>
      </c>
      <c r="D44" s="29">
        <f t="shared" si="3"/>
        <v>0.76923076923076927</v>
      </c>
      <c r="E44" s="29">
        <f t="shared" si="3"/>
        <v>1</v>
      </c>
      <c r="F44" s="29">
        <f t="shared" si="3"/>
        <v>0.83636363636363631</v>
      </c>
      <c r="G44" s="29">
        <f t="shared" si="3"/>
        <v>1</v>
      </c>
      <c r="H44" s="29">
        <f t="shared" si="3"/>
        <v>0.75</v>
      </c>
      <c r="I44" s="29">
        <f t="shared" si="3"/>
        <v>0.66666666666666663</v>
      </c>
      <c r="J44" s="29">
        <f t="shared" si="3"/>
        <v>0.95238095238095233</v>
      </c>
      <c r="K44" s="29">
        <f t="shared" si="3"/>
        <v>0.73333333333333328</v>
      </c>
      <c r="L44" s="29">
        <f t="shared" si="3"/>
        <v>1</v>
      </c>
      <c r="M44" s="29">
        <f t="shared" si="3"/>
        <v>0.83333333333333337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x14ac:dyDescent="0.25">
      <c r="A47" s="14" t="s">
        <v>142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x14ac:dyDescent="0.25">
      <c r="A48" s="30" t="s">
        <v>104</v>
      </c>
      <c r="B48" s="16" t="s">
        <v>86</v>
      </c>
      <c r="C48" s="16" t="s">
        <v>87</v>
      </c>
      <c r="D48" s="16" t="s">
        <v>88</v>
      </c>
      <c r="E48" s="16" t="s">
        <v>89</v>
      </c>
      <c r="F48" s="16" t="s">
        <v>91</v>
      </c>
      <c r="G48" s="16" t="s">
        <v>90</v>
      </c>
      <c r="H48" s="16" t="s">
        <v>92</v>
      </c>
      <c r="I48" s="16" t="s">
        <v>99</v>
      </c>
      <c r="J48" s="16" t="s">
        <v>94</v>
      </c>
      <c r="K48" s="16" t="s">
        <v>95</v>
      </c>
      <c r="L48" s="21" t="s">
        <v>93</v>
      </c>
      <c r="M48" s="13" t="s">
        <v>97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x14ac:dyDescent="0.25">
      <c r="A49" s="31" t="s">
        <v>143</v>
      </c>
      <c r="B49" s="20">
        <v>137</v>
      </c>
      <c r="C49" s="20">
        <v>90</v>
      </c>
      <c r="D49" s="20">
        <v>116</v>
      </c>
      <c r="E49" s="20">
        <v>106</v>
      </c>
      <c r="F49" s="20">
        <v>109</v>
      </c>
      <c r="G49" s="20">
        <v>119</v>
      </c>
      <c r="H49" s="20">
        <v>124</v>
      </c>
      <c r="I49" s="20">
        <v>114</v>
      </c>
      <c r="J49" s="20">
        <v>114</v>
      </c>
      <c r="K49" s="20">
        <v>111</v>
      </c>
      <c r="L49" s="20">
        <v>113</v>
      </c>
      <c r="M49" s="20">
        <v>123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x14ac:dyDescent="0.25">
      <c r="A50" s="31" t="s">
        <v>145</v>
      </c>
      <c r="B50" s="20">
        <v>55</v>
      </c>
      <c r="C50" s="20">
        <v>89</v>
      </c>
      <c r="D50" s="20">
        <v>65</v>
      </c>
      <c r="E50" s="20">
        <v>66</v>
      </c>
      <c r="F50" s="20">
        <v>61</v>
      </c>
      <c r="G50" s="20">
        <v>52</v>
      </c>
      <c r="H50" s="20">
        <v>73</v>
      </c>
      <c r="I50" s="20">
        <v>90</v>
      </c>
      <c r="J50" s="20">
        <v>71</v>
      </c>
      <c r="K50" s="20">
        <v>59</v>
      </c>
      <c r="L50" s="20">
        <v>69</v>
      </c>
      <c r="M50" s="20">
        <v>65</v>
      </c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x14ac:dyDescent="0.25">
      <c r="A51" s="31" t="s">
        <v>114</v>
      </c>
      <c r="B51" s="20" t="s">
        <v>158</v>
      </c>
      <c r="C51" s="20" t="s">
        <v>158</v>
      </c>
      <c r="D51" s="20" t="s">
        <v>148</v>
      </c>
      <c r="E51" s="20" t="s">
        <v>158</v>
      </c>
      <c r="F51" s="20" t="s">
        <v>158</v>
      </c>
      <c r="G51" s="20" t="s">
        <v>214</v>
      </c>
      <c r="H51" s="20" t="s">
        <v>215</v>
      </c>
      <c r="I51" s="20" t="s">
        <v>158</v>
      </c>
      <c r="J51" s="20" t="s">
        <v>158</v>
      </c>
      <c r="K51" s="20" t="s">
        <v>158</v>
      </c>
      <c r="L51" s="20" t="s">
        <v>158</v>
      </c>
      <c r="M51" s="20" t="s">
        <v>158</v>
      </c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x14ac:dyDescent="0.25">
      <c r="A53" s="30" t="s">
        <v>121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x14ac:dyDescent="0.25">
      <c r="A54" s="31" t="s">
        <v>143</v>
      </c>
      <c r="B54" s="20">
        <v>125</v>
      </c>
      <c r="C54" s="20">
        <v>98</v>
      </c>
      <c r="D54" s="20">
        <v>108</v>
      </c>
      <c r="E54" s="20">
        <v>110</v>
      </c>
      <c r="F54" s="20">
        <v>108</v>
      </c>
      <c r="G54" s="20">
        <v>109</v>
      </c>
      <c r="H54" s="20">
        <v>119</v>
      </c>
      <c r="I54" s="20">
        <v>116</v>
      </c>
      <c r="J54" s="20">
        <v>112</v>
      </c>
      <c r="K54" s="20">
        <v>112</v>
      </c>
      <c r="L54" s="20">
        <v>111</v>
      </c>
      <c r="M54" s="20">
        <v>121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x14ac:dyDescent="0.25">
      <c r="A55" s="31" t="s">
        <v>145</v>
      </c>
      <c r="B55" s="20">
        <v>68</v>
      </c>
      <c r="C55" s="20">
        <v>85</v>
      </c>
      <c r="D55" s="20">
        <v>90</v>
      </c>
      <c r="E55" s="20">
        <v>64</v>
      </c>
      <c r="F55" s="20">
        <v>62</v>
      </c>
      <c r="G55" s="20">
        <v>56</v>
      </c>
      <c r="H55" s="20">
        <v>80</v>
      </c>
      <c r="I55" s="20">
        <v>86</v>
      </c>
      <c r="J55" s="20">
        <v>75</v>
      </c>
      <c r="K55" s="20">
        <v>58</v>
      </c>
      <c r="L55" s="20">
        <v>83</v>
      </c>
      <c r="M55" s="20">
        <v>85</v>
      </c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x14ac:dyDescent="0.25">
      <c r="A56" s="31" t="s">
        <v>114</v>
      </c>
      <c r="B56" s="20" t="s">
        <v>158</v>
      </c>
      <c r="C56" s="20" t="s">
        <v>158</v>
      </c>
      <c r="D56" s="20" t="s">
        <v>158</v>
      </c>
      <c r="E56" s="20" t="s">
        <v>158</v>
      </c>
      <c r="F56" s="20" t="s">
        <v>158</v>
      </c>
      <c r="G56" s="20" t="s">
        <v>214</v>
      </c>
      <c r="H56" s="20" t="s">
        <v>158</v>
      </c>
      <c r="I56" s="20" t="s">
        <v>158</v>
      </c>
      <c r="J56" s="20" t="s">
        <v>158</v>
      </c>
      <c r="K56" s="20" t="s">
        <v>158</v>
      </c>
      <c r="L56" s="20" t="s">
        <v>216</v>
      </c>
      <c r="M56" s="20" t="s">
        <v>158</v>
      </c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x14ac:dyDescent="0.25">
      <c r="A59" s="58" t="s">
        <v>149</v>
      </c>
      <c r="B59" s="16" t="s">
        <v>86</v>
      </c>
      <c r="C59" s="16" t="s">
        <v>87</v>
      </c>
      <c r="D59" s="16" t="s">
        <v>88</v>
      </c>
      <c r="E59" s="16" t="s">
        <v>89</v>
      </c>
      <c r="F59" s="16" t="s">
        <v>91</v>
      </c>
      <c r="G59" s="16" t="s">
        <v>90</v>
      </c>
      <c r="H59" s="16" t="s">
        <v>92</v>
      </c>
      <c r="I59" s="16" t="s">
        <v>99</v>
      </c>
      <c r="J59" s="16" t="s">
        <v>94</v>
      </c>
      <c r="K59" s="16" t="s">
        <v>95</v>
      </c>
      <c r="L59" s="21" t="s">
        <v>93</v>
      </c>
      <c r="M59" s="13" t="s">
        <v>97</v>
      </c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x14ac:dyDescent="0.25">
      <c r="A60" s="17" t="s">
        <v>150</v>
      </c>
      <c r="B60" s="19">
        <v>279.60000000000002</v>
      </c>
      <c r="C60" s="19">
        <v>261.2</v>
      </c>
      <c r="D60" s="19">
        <v>231.3</v>
      </c>
      <c r="E60" s="19">
        <v>197</v>
      </c>
      <c r="F60" s="19">
        <v>296.89999999999998</v>
      </c>
      <c r="G60" s="19">
        <v>298.3</v>
      </c>
      <c r="H60" s="19">
        <v>231.8</v>
      </c>
      <c r="I60" s="19">
        <v>207.1</v>
      </c>
      <c r="J60" s="19">
        <v>181.6</v>
      </c>
      <c r="K60" s="19">
        <v>392.8</v>
      </c>
      <c r="L60" s="19">
        <v>259.89999999999998</v>
      </c>
      <c r="M60" s="20">
        <v>326.8</v>
      </c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x14ac:dyDescent="0.25">
      <c r="A61" s="17" t="s">
        <v>114</v>
      </c>
      <c r="B61" s="19">
        <v>0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2</v>
      </c>
      <c r="K61" s="19">
        <v>0</v>
      </c>
      <c r="L61" s="19">
        <v>5</v>
      </c>
      <c r="M61" s="20">
        <v>0</v>
      </c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x14ac:dyDescent="0.25">
      <c r="A62" s="20" t="s">
        <v>151</v>
      </c>
      <c r="B62" s="20"/>
      <c r="C62" s="20">
        <v>142.6</v>
      </c>
      <c r="D62" s="20">
        <v>153</v>
      </c>
      <c r="E62" s="20">
        <v>146</v>
      </c>
      <c r="F62" s="20">
        <v>141</v>
      </c>
      <c r="G62" s="20">
        <v>126.7</v>
      </c>
      <c r="H62" s="20">
        <v>135</v>
      </c>
      <c r="I62" s="20">
        <v>123.2</v>
      </c>
      <c r="J62" s="20">
        <v>135</v>
      </c>
      <c r="K62" s="20">
        <v>151.69999999999999</v>
      </c>
      <c r="L62" s="20">
        <v>132.80000000000001</v>
      </c>
      <c r="M62" s="20">
        <v>162</v>
      </c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x14ac:dyDescent="0.25">
      <c r="A63" s="20" t="s">
        <v>217</v>
      </c>
      <c r="B63" s="20">
        <f>2.5*B62</f>
        <v>0</v>
      </c>
      <c r="C63" s="20">
        <f t="shared" ref="C63:F63" si="4">C62*2.5</f>
        <v>356.5</v>
      </c>
      <c r="D63" s="20">
        <f t="shared" si="4"/>
        <v>382.5</v>
      </c>
      <c r="E63" s="20">
        <f t="shared" si="4"/>
        <v>365</v>
      </c>
      <c r="F63" s="20">
        <f t="shared" si="4"/>
        <v>352.5</v>
      </c>
      <c r="G63" s="20">
        <f t="shared" ref="G63:M63" si="5">2.5*G62</f>
        <v>316.75</v>
      </c>
      <c r="H63" s="20">
        <f t="shared" si="5"/>
        <v>337.5</v>
      </c>
      <c r="I63" s="20">
        <f t="shared" si="5"/>
        <v>308</v>
      </c>
      <c r="J63" s="20">
        <f t="shared" si="5"/>
        <v>337.5</v>
      </c>
      <c r="K63" s="20">
        <f t="shared" si="5"/>
        <v>379.25</v>
      </c>
      <c r="L63" s="20">
        <f t="shared" si="5"/>
        <v>332</v>
      </c>
      <c r="M63" s="20">
        <f t="shared" si="5"/>
        <v>405</v>
      </c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x14ac:dyDescent="0.25">
      <c r="A64" s="20" t="s">
        <v>153</v>
      </c>
      <c r="B64" s="20"/>
      <c r="C64" s="34">
        <f t="shared" ref="C64:M64" si="6">C60/C63</f>
        <v>0.73267882187938282</v>
      </c>
      <c r="D64" s="34">
        <f t="shared" si="6"/>
        <v>0.6047058823529412</v>
      </c>
      <c r="E64" s="34">
        <f t="shared" si="6"/>
        <v>0.53972602739726028</v>
      </c>
      <c r="F64" s="34">
        <f t="shared" si="6"/>
        <v>0.8422695035460992</v>
      </c>
      <c r="G64" s="34">
        <f t="shared" si="6"/>
        <v>0.94175217048145232</v>
      </c>
      <c r="H64" s="34">
        <f t="shared" si="6"/>
        <v>0.68681481481481488</v>
      </c>
      <c r="I64" s="34">
        <f t="shared" si="6"/>
        <v>0.67240259740259734</v>
      </c>
      <c r="J64" s="34">
        <f t="shared" si="6"/>
        <v>0.53807407407407404</v>
      </c>
      <c r="K64" s="34">
        <f t="shared" si="6"/>
        <v>1.0357284113381675</v>
      </c>
      <c r="L64" s="34">
        <f t="shared" si="6"/>
        <v>0.78283132530120481</v>
      </c>
      <c r="M64" s="34">
        <f t="shared" si="6"/>
        <v>0.80691358024691362</v>
      </c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x14ac:dyDescent="0.25">
      <c r="A67" s="14" t="s">
        <v>154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x14ac:dyDescent="0.25">
      <c r="A68" s="15" t="s">
        <v>155</v>
      </c>
      <c r="B68" s="16" t="s">
        <v>86</v>
      </c>
      <c r="C68" s="16" t="s">
        <v>87</v>
      </c>
      <c r="D68" s="16" t="s">
        <v>88</v>
      </c>
      <c r="E68" s="16" t="s">
        <v>89</v>
      </c>
      <c r="F68" s="16" t="s">
        <v>91</v>
      </c>
      <c r="G68" s="16" t="s">
        <v>90</v>
      </c>
      <c r="H68" s="59" t="s">
        <v>92</v>
      </c>
      <c r="I68" s="16" t="s">
        <v>99</v>
      </c>
      <c r="J68" s="16" t="s">
        <v>94</v>
      </c>
      <c r="K68" s="16" t="s">
        <v>95</v>
      </c>
      <c r="L68" s="21" t="s">
        <v>93</v>
      </c>
      <c r="M68" s="13" t="s">
        <v>97</v>
      </c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x14ac:dyDescent="0.25">
      <c r="A69" s="17" t="s">
        <v>156</v>
      </c>
      <c r="B69" s="19" t="s">
        <v>157</v>
      </c>
      <c r="C69" s="19" t="s">
        <v>157</v>
      </c>
      <c r="D69" s="19" t="s">
        <v>157</v>
      </c>
      <c r="E69" s="19" t="s">
        <v>157</v>
      </c>
      <c r="F69" s="19" t="s">
        <v>157</v>
      </c>
      <c r="G69" s="19"/>
      <c r="H69" s="19" t="s">
        <v>157</v>
      </c>
      <c r="I69" s="19" t="s">
        <v>157</v>
      </c>
      <c r="J69" s="19" t="s">
        <v>157</v>
      </c>
      <c r="K69" s="19" t="s">
        <v>157</v>
      </c>
      <c r="L69" s="19" t="s">
        <v>218</v>
      </c>
      <c r="M69" s="20" t="s">
        <v>157</v>
      </c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x14ac:dyDescent="0.25">
      <c r="A70" s="17" t="s">
        <v>159</v>
      </c>
      <c r="B70" s="37">
        <v>7.1527777777777773E-2</v>
      </c>
      <c r="C70" s="37">
        <v>0.125</v>
      </c>
      <c r="D70" s="37">
        <v>8.4722222222222227E-2</v>
      </c>
      <c r="E70" s="37">
        <v>8.8888888888888892E-2</v>
      </c>
      <c r="F70" s="37">
        <v>4.583333333333333E-2</v>
      </c>
      <c r="G70" s="37">
        <v>0.125</v>
      </c>
      <c r="H70" s="37">
        <v>9.4444444444444442E-2</v>
      </c>
      <c r="I70" s="37">
        <v>9.0972222222222218E-2</v>
      </c>
      <c r="J70" s="37">
        <v>7.3611111111111113E-2</v>
      </c>
      <c r="K70" s="37">
        <v>0.125</v>
      </c>
      <c r="L70" s="37">
        <v>0.125</v>
      </c>
      <c r="M70" s="60">
        <v>6.6666666666666666E-2</v>
      </c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x14ac:dyDescent="0.25">
      <c r="A71" s="17" t="s">
        <v>128</v>
      </c>
      <c r="B71" s="19" t="s">
        <v>132</v>
      </c>
      <c r="C71" s="19" t="s">
        <v>160</v>
      </c>
      <c r="D71" s="19" t="s">
        <v>219</v>
      </c>
      <c r="E71" s="19" t="s">
        <v>219</v>
      </c>
      <c r="F71" s="19" t="s">
        <v>132</v>
      </c>
      <c r="G71" s="19" t="s">
        <v>220</v>
      </c>
      <c r="H71" s="19" t="s">
        <v>220</v>
      </c>
      <c r="I71" s="19" t="s">
        <v>219</v>
      </c>
      <c r="J71" s="19" t="s">
        <v>219</v>
      </c>
      <c r="K71" s="19" t="s">
        <v>160</v>
      </c>
      <c r="L71" s="19" t="s">
        <v>160</v>
      </c>
      <c r="M71" s="20" t="s">
        <v>132</v>
      </c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x14ac:dyDescent="0.25">
      <c r="A73" s="15" t="s">
        <v>162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x14ac:dyDescent="0.25">
      <c r="A74" s="17" t="s">
        <v>156</v>
      </c>
      <c r="B74" s="19" t="s">
        <v>157</v>
      </c>
      <c r="C74" s="19" t="s">
        <v>158</v>
      </c>
      <c r="D74" s="19" t="s">
        <v>157</v>
      </c>
      <c r="E74" s="19" t="s">
        <v>157</v>
      </c>
      <c r="F74" s="19" t="s">
        <v>157</v>
      </c>
      <c r="G74" s="19" t="s">
        <v>157</v>
      </c>
      <c r="H74" s="19" t="s">
        <v>157</v>
      </c>
      <c r="I74" s="19" t="s">
        <v>157</v>
      </c>
      <c r="J74" s="19" t="s">
        <v>157</v>
      </c>
      <c r="K74" s="19" t="s">
        <v>157</v>
      </c>
      <c r="L74" s="19" t="s">
        <v>157</v>
      </c>
      <c r="M74" s="20" t="s">
        <v>157</v>
      </c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x14ac:dyDescent="0.25">
      <c r="A75" s="17" t="s">
        <v>159</v>
      </c>
      <c r="B75" s="37">
        <v>4.1666666666666664E-2</v>
      </c>
      <c r="C75" s="37">
        <v>8.3333333333333329E-2</v>
      </c>
      <c r="D75" s="37">
        <v>4.1666666666666664E-2</v>
      </c>
      <c r="E75" s="37">
        <v>5.4166666666666669E-2</v>
      </c>
      <c r="F75" s="37">
        <v>4.4444444444444446E-2</v>
      </c>
      <c r="G75" s="37">
        <v>4.6527777777777779E-2</v>
      </c>
      <c r="H75" s="37">
        <v>8.3333333333333329E-2</v>
      </c>
      <c r="I75" s="37">
        <v>5.2777777777777778E-2</v>
      </c>
      <c r="J75" s="37">
        <v>5.0694444444444445E-2</v>
      </c>
      <c r="K75" s="37">
        <v>3.6805555555555557E-2</v>
      </c>
      <c r="L75" s="37">
        <v>8.3333333333333329E-2</v>
      </c>
      <c r="M75" s="60">
        <v>5.2083333333333336E-2</v>
      </c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x14ac:dyDescent="0.25">
      <c r="A76" s="17" t="s">
        <v>128</v>
      </c>
      <c r="B76" s="19" t="s">
        <v>132</v>
      </c>
      <c r="C76" s="19" t="s">
        <v>160</v>
      </c>
      <c r="D76" s="19" t="s">
        <v>219</v>
      </c>
      <c r="E76" s="19" t="s">
        <v>221</v>
      </c>
      <c r="F76" s="19" t="s">
        <v>132</v>
      </c>
      <c r="G76" s="19" t="s">
        <v>222</v>
      </c>
      <c r="H76" s="19" t="s">
        <v>223</v>
      </c>
      <c r="I76" s="19" t="s">
        <v>221</v>
      </c>
      <c r="J76" s="19" t="s">
        <v>219</v>
      </c>
      <c r="K76" s="19" t="s">
        <v>219</v>
      </c>
      <c r="L76" s="19" t="s">
        <v>160</v>
      </c>
      <c r="M76" s="20" t="s">
        <v>132</v>
      </c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x14ac:dyDescent="0.25">
      <c r="A78" s="15" t="s">
        <v>165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x14ac:dyDescent="0.25">
      <c r="A79" s="17" t="s">
        <v>156</v>
      </c>
      <c r="B79" s="19" t="s">
        <v>157</v>
      </c>
      <c r="C79" s="19" t="s">
        <v>158</v>
      </c>
      <c r="D79" s="19" t="s">
        <v>157</v>
      </c>
      <c r="E79" s="19" t="s">
        <v>157</v>
      </c>
      <c r="F79" s="19" t="s">
        <v>157</v>
      </c>
      <c r="G79" s="19" t="s">
        <v>157</v>
      </c>
      <c r="H79" s="19" t="s">
        <v>157</v>
      </c>
      <c r="I79" s="19" t="s">
        <v>157</v>
      </c>
      <c r="J79" s="19" t="s">
        <v>157</v>
      </c>
      <c r="K79" s="19" t="s">
        <v>157</v>
      </c>
      <c r="L79" s="19" t="s">
        <v>157</v>
      </c>
      <c r="M79" s="20" t="s">
        <v>157</v>
      </c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x14ac:dyDescent="0.25">
      <c r="A80" s="17" t="s">
        <v>159</v>
      </c>
      <c r="B80" s="37">
        <v>3.7499999999999999E-2</v>
      </c>
      <c r="C80" s="37">
        <v>8.3333333333333329E-2</v>
      </c>
      <c r="D80" s="37">
        <v>6.3888888888888884E-2</v>
      </c>
      <c r="E80" s="37">
        <v>4.7222222222222221E-2</v>
      </c>
      <c r="F80" s="37">
        <v>0.05</v>
      </c>
      <c r="G80" s="37">
        <v>5.6250000000000001E-2</v>
      </c>
      <c r="H80" s="37">
        <v>8.3333333333333329E-2</v>
      </c>
      <c r="I80" s="37">
        <v>4.6527777777777779E-2</v>
      </c>
      <c r="J80" s="37">
        <v>4.1666666666666664E-2</v>
      </c>
      <c r="K80" s="37">
        <v>6.6666666666666666E-2</v>
      </c>
      <c r="L80" s="37">
        <v>8.3333333333333329E-2</v>
      </c>
      <c r="M80" s="60">
        <v>6.458333333333334E-2</v>
      </c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x14ac:dyDescent="0.25">
      <c r="A81" s="17" t="s">
        <v>128</v>
      </c>
      <c r="B81" s="19" t="s">
        <v>132</v>
      </c>
      <c r="C81" s="19" t="s">
        <v>160</v>
      </c>
      <c r="D81" s="19" t="s">
        <v>219</v>
      </c>
      <c r="E81" s="19" t="s">
        <v>221</v>
      </c>
      <c r="F81" s="19" t="s">
        <v>132</v>
      </c>
      <c r="G81" s="19" t="s">
        <v>220</v>
      </c>
      <c r="H81" s="19" t="s">
        <v>160</v>
      </c>
      <c r="I81" s="19" t="s">
        <v>221</v>
      </c>
      <c r="J81" s="19" t="s">
        <v>219</v>
      </c>
      <c r="K81" s="19" t="s">
        <v>132</v>
      </c>
      <c r="L81" s="19" t="s">
        <v>224</v>
      </c>
      <c r="M81" s="20" t="s">
        <v>132</v>
      </c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x14ac:dyDescent="0.25">
      <c r="A83" s="15" t="s">
        <v>166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x14ac:dyDescent="0.25">
      <c r="A84" s="17" t="s">
        <v>156</v>
      </c>
      <c r="B84" s="19" t="s">
        <v>158</v>
      </c>
      <c r="C84" s="19" t="s">
        <v>158</v>
      </c>
      <c r="D84" s="19" t="s">
        <v>158</v>
      </c>
      <c r="E84" s="19" t="s">
        <v>157</v>
      </c>
      <c r="F84" s="19" t="s">
        <v>158</v>
      </c>
      <c r="G84" s="19" t="s">
        <v>158</v>
      </c>
      <c r="H84" s="19" t="s">
        <v>158</v>
      </c>
      <c r="I84" s="19" t="s">
        <v>158</v>
      </c>
      <c r="J84" s="19" t="s">
        <v>158</v>
      </c>
      <c r="K84" s="19" t="s">
        <v>157</v>
      </c>
      <c r="L84" s="19" t="s">
        <v>157</v>
      </c>
      <c r="M84" s="20" t="s">
        <v>158</v>
      </c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x14ac:dyDescent="0.25">
      <c r="A85" s="17" t="s">
        <v>159</v>
      </c>
      <c r="B85" s="37">
        <v>8.4027777777777785E-2</v>
      </c>
      <c r="C85" s="37">
        <v>0.10416666666666667</v>
      </c>
      <c r="D85" s="37">
        <v>5.8333333333333334E-2</v>
      </c>
      <c r="E85" s="37">
        <v>9.166666666666666E-2</v>
      </c>
      <c r="F85" s="37">
        <v>6.25E-2</v>
      </c>
      <c r="G85" s="37">
        <v>7.2916666666666671E-2</v>
      </c>
      <c r="H85" s="37">
        <v>6.7361111111111108E-2</v>
      </c>
      <c r="I85" s="37">
        <v>0.12986111111111112</v>
      </c>
      <c r="J85" s="37">
        <v>5.8333333333333334E-2</v>
      </c>
      <c r="K85" s="37">
        <v>0.10416666666666667</v>
      </c>
      <c r="L85" s="37">
        <v>8.0555555555555561E-2</v>
      </c>
      <c r="M85" s="60">
        <v>9.6527777777777782E-2</v>
      </c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x14ac:dyDescent="0.25">
      <c r="A86" s="17" t="s">
        <v>128</v>
      </c>
      <c r="B86" s="19" t="s">
        <v>167</v>
      </c>
      <c r="C86" s="19" t="s">
        <v>167</v>
      </c>
      <c r="D86" s="19" t="s">
        <v>132</v>
      </c>
      <c r="E86" s="19" t="s">
        <v>198</v>
      </c>
      <c r="F86" s="19" t="s">
        <v>167</v>
      </c>
      <c r="G86" s="19" t="s">
        <v>167</v>
      </c>
      <c r="H86" s="19" t="s">
        <v>225</v>
      </c>
      <c r="I86" s="19" t="s">
        <v>226</v>
      </c>
      <c r="J86" s="19" t="s">
        <v>132</v>
      </c>
      <c r="K86" s="19" t="s">
        <v>132</v>
      </c>
      <c r="L86" s="19" t="s">
        <v>227</v>
      </c>
      <c r="M86" s="20" t="s">
        <v>167</v>
      </c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x14ac:dyDescent="0.25">
      <c r="A88" s="15" t="s">
        <v>169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x14ac:dyDescent="0.25">
      <c r="A89" s="17" t="s">
        <v>170</v>
      </c>
      <c r="B89" s="40">
        <f t="shared" ref="B89:M89" si="7">B70/B85</f>
        <v>0.85123966942148743</v>
      </c>
      <c r="C89" s="40">
        <f t="shared" si="7"/>
        <v>1.2</v>
      </c>
      <c r="D89" s="40">
        <f t="shared" si="7"/>
        <v>1.4523809523809523</v>
      </c>
      <c r="E89" s="40">
        <f t="shared" si="7"/>
        <v>0.96969696969696983</v>
      </c>
      <c r="F89" s="40">
        <f t="shared" si="7"/>
        <v>0.73333333333333328</v>
      </c>
      <c r="G89" s="40">
        <f t="shared" si="7"/>
        <v>1.7142857142857142</v>
      </c>
      <c r="H89" s="40">
        <f t="shared" si="7"/>
        <v>1.4020618556701032</v>
      </c>
      <c r="I89" s="40">
        <f t="shared" si="7"/>
        <v>0.70053475935828868</v>
      </c>
      <c r="J89" s="40">
        <f t="shared" si="7"/>
        <v>1.2619047619047619</v>
      </c>
      <c r="K89" s="40">
        <f t="shared" si="7"/>
        <v>1.2</v>
      </c>
      <c r="L89" s="40">
        <f t="shared" si="7"/>
        <v>1.5517241379310345</v>
      </c>
      <c r="M89" s="40">
        <f t="shared" si="7"/>
        <v>0.69064748201438841</v>
      </c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x14ac:dyDescent="0.25">
      <c r="A90" s="17" t="s">
        <v>171</v>
      </c>
      <c r="B90" s="40">
        <f t="shared" ref="B90:M90" si="8">IF(B75&gt;B80,B80/B75,B75/B80)</f>
        <v>0.9</v>
      </c>
      <c r="C90" s="40">
        <f t="shared" si="8"/>
        <v>1</v>
      </c>
      <c r="D90" s="40">
        <f t="shared" si="8"/>
        <v>0.65217391304347827</v>
      </c>
      <c r="E90" s="40">
        <f t="shared" si="8"/>
        <v>0.8717948717948717</v>
      </c>
      <c r="F90" s="40">
        <f t="shared" si="8"/>
        <v>0.88888888888888884</v>
      </c>
      <c r="G90" s="40">
        <f t="shared" si="8"/>
        <v>0.8271604938271605</v>
      </c>
      <c r="H90" s="40">
        <f t="shared" si="8"/>
        <v>1</v>
      </c>
      <c r="I90" s="40">
        <f t="shared" si="8"/>
        <v>0.88157894736842113</v>
      </c>
      <c r="J90" s="40">
        <f t="shared" si="8"/>
        <v>0.82191780821917804</v>
      </c>
      <c r="K90" s="40">
        <f t="shared" si="8"/>
        <v>0.55208333333333337</v>
      </c>
      <c r="L90" s="40">
        <f t="shared" si="8"/>
        <v>1</v>
      </c>
      <c r="M90" s="40">
        <f t="shared" si="8"/>
        <v>0.80645161290322576</v>
      </c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x14ac:dyDescent="0.25">
      <c r="A91" s="17" t="s">
        <v>172</v>
      </c>
      <c r="B91" s="40">
        <f t="shared" ref="B91:M91" si="9">B75/B85</f>
        <v>0.49586776859504128</v>
      </c>
      <c r="C91" s="40">
        <f t="shared" si="9"/>
        <v>0.79999999999999993</v>
      </c>
      <c r="D91" s="40">
        <f t="shared" si="9"/>
        <v>0.71428571428571419</v>
      </c>
      <c r="E91" s="40">
        <f t="shared" si="9"/>
        <v>0.59090909090909094</v>
      </c>
      <c r="F91" s="40">
        <f t="shared" si="9"/>
        <v>0.71111111111111114</v>
      </c>
      <c r="G91" s="40">
        <f t="shared" si="9"/>
        <v>0.63809523809523805</v>
      </c>
      <c r="H91" s="40">
        <f t="shared" si="9"/>
        <v>1.2371134020618557</v>
      </c>
      <c r="I91" s="40">
        <f t="shared" si="9"/>
        <v>0.4064171122994652</v>
      </c>
      <c r="J91" s="40">
        <f t="shared" si="9"/>
        <v>0.86904761904761907</v>
      </c>
      <c r="K91" s="40">
        <f t="shared" si="9"/>
        <v>0.35333333333333333</v>
      </c>
      <c r="L91" s="40">
        <f t="shared" si="9"/>
        <v>1.0344827586206895</v>
      </c>
      <c r="M91" s="40">
        <f t="shared" si="9"/>
        <v>0.53956834532374098</v>
      </c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x14ac:dyDescent="0.25">
      <c r="A92" s="17" t="s">
        <v>173</v>
      </c>
      <c r="B92" s="40">
        <f t="shared" ref="B92:M92" si="10">B80/B85</f>
        <v>0.44628099173553715</v>
      </c>
      <c r="C92" s="40">
        <f t="shared" si="10"/>
        <v>0.79999999999999993</v>
      </c>
      <c r="D92" s="40">
        <f t="shared" si="10"/>
        <v>1.0952380952380951</v>
      </c>
      <c r="E92" s="40">
        <f t="shared" si="10"/>
        <v>0.51515151515151514</v>
      </c>
      <c r="F92" s="40">
        <f t="shared" si="10"/>
        <v>0.8</v>
      </c>
      <c r="G92" s="40">
        <f t="shared" si="10"/>
        <v>0.77142857142857135</v>
      </c>
      <c r="H92" s="40">
        <f t="shared" si="10"/>
        <v>1.2371134020618557</v>
      </c>
      <c r="I92" s="40">
        <f t="shared" si="10"/>
        <v>0.35828877005347592</v>
      </c>
      <c r="J92" s="40">
        <f t="shared" si="10"/>
        <v>0.71428571428571419</v>
      </c>
      <c r="K92" s="40">
        <f t="shared" si="10"/>
        <v>0.64</v>
      </c>
      <c r="L92" s="40">
        <f t="shared" si="10"/>
        <v>1.0344827586206895</v>
      </c>
      <c r="M92" s="40">
        <f t="shared" si="10"/>
        <v>0.66906474820143891</v>
      </c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x14ac:dyDescent="0.25">
      <c r="A95" s="15" t="s">
        <v>202</v>
      </c>
      <c r="B95" s="16" t="s">
        <v>86</v>
      </c>
      <c r="C95" s="16" t="s">
        <v>87</v>
      </c>
      <c r="D95" s="16" t="s">
        <v>88</v>
      </c>
      <c r="E95" s="16" t="s">
        <v>89</v>
      </c>
      <c r="F95" s="16" t="s">
        <v>91</v>
      </c>
      <c r="G95" s="16" t="s">
        <v>90</v>
      </c>
      <c r="H95" s="59" t="s">
        <v>92</v>
      </c>
      <c r="I95" s="16" t="s">
        <v>99</v>
      </c>
      <c r="J95" s="16" t="s">
        <v>94</v>
      </c>
      <c r="K95" s="16" t="s">
        <v>95</v>
      </c>
      <c r="L95" s="21" t="s">
        <v>93</v>
      </c>
      <c r="M95" s="13" t="s">
        <v>97</v>
      </c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x14ac:dyDescent="0.25">
      <c r="A96" s="20" t="s">
        <v>228</v>
      </c>
      <c r="B96" s="20">
        <v>6</v>
      </c>
      <c r="C96" s="20">
        <v>6</v>
      </c>
      <c r="D96" s="20">
        <v>10</v>
      </c>
      <c r="E96" s="20">
        <v>2</v>
      </c>
      <c r="F96" s="20">
        <v>1</v>
      </c>
      <c r="G96" s="20">
        <v>8.75</v>
      </c>
      <c r="H96" s="20">
        <v>11.25</v>
      </c>
      <c r="I96" s="20">
        <v>9.5</v>
      </c>
      <c r="J96" s="20">
        <v>7.5</v>
      </c>
      <c r="K96" s="20">
        <v>5.25</v>
      </c>
      <c r="L96" s="20">
        <v>0</v>
      </c>
      <c r="M96" s="20">
        <v>3</v>
      </c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x14ac:dyDescent="0.25">
      <c r="A97" s="20" t="s">
        <v>204</v>
      </c>
      <c r="B97" s="20">
        <v>3</v>
      </c>
      <c r="C97" s="20">
        <v>14</v>
      </c>
      <c r="D97" s="20">
        <v>12</v>
      </c>
      <c r="E97" s="20">
        <v>9</v>
      </c>
      <c r="F97" s="20">
        <v>1</v>
      </c>
      <c r="G97" s="20">
        <v>20</v>
      </c>
      <c r="H97" s="20">
        <v>0</v>
      </c>
      <c r="I97" s="20">
        <v>14</v>
      </c>
      <c r="J97" s="20">
        <v>20</v>
      </c>
      <c r="K97" s="20">
        <v>16</v>
      </c>
      <c r="L97" s="20">
        <v>2</v>
      </c>
      <c r="M97" s="20">
        <v>7</v>
      </c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x14ac:dyDescent="0.25">
      <c r="A98" s="20" t="s">
        <v>178</v>
      </c>
      <c r="B98" s="20">
        <v>2.17</v>
      </c>
      <c r="C98" s="26" t="s">
        <v>179</v>
      </c>
      <c r="D98" s="20">
        <v>2.77</v>
      </c>
      <c r="E98" s="20">
        <v>2.78</v>
      </c>
      <c r="F98" s="20">
        <v>2.36</v>
      </c>
      <c r="G98" s="20">
        <v>2.2000000000000002</v>
      </c>
      <c r="H98" s="20">
        <v>2.57</v>
      </c>
      <c r="I98" s="20">
        <v>2.3199999999999998</v>
      </c>
      <c r="J98" s="20">
        <v>2.5</v>
      </c>
      <c r="K98" s="20">
        <v>2.44</v>
      </c>
      <c r="L98" s="26">
        <v>2.83</v>
      </c>
      <c r="M98" s="20">
        <v>2.16</v>
      </c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x14ac:dyDescent="0.25">
      <c r="A99" s="13" t="s">
        <v>206</v>
      </c>
      <c r="B99" s="20">
        <v>24.25</v>
      </c>
      <c r="C99" s="20">
        <v>21.75</v>
      </c>
      <c r="D99" s="20">
        <v>16.5</v>
      </c>
      <c r="E99" s="20">
        <v>19</v>
      </c>
      <c r="F99" s="20">
        <v>31</v>
      </c>
      <c r="G99" s="20">
        <v>30.5</v>
      </c>
      <c r="H99" s="20">
        <v>25.5</v>
      </c>
      <c r="I99" s="20">
        <v>22.5</v>
      </c>
      <c r="J99" s="20" t="s">
        <v>179</v>
      </c>
      <c r="K99" s="20">
        <v>28.5</v>
      </c>
      <c r="L99" s="20">
        <v>19.5</v>
      </c>
      <c r="M99" s="20">
        <v>27.5</v>
      </c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x14ac:dyDescent="0.25">
      <c r="A103" s="13" t="s">
        <v>182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x14ac:dyDescent="0.25">
      <c r="A104" s="13" t="s">
        <v>183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x14ac:dyDescent="0.25">
      <c r="A105" s="42" t="s">
        <v>184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1:2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1:2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1:2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1:2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1:2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1:2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1:2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1:2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1:2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1:2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1:2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1:2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1:2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1:2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1:2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spans="1:25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spans="1:25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spans="1:25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spans="1:25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spans="1:25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spans="1:25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spans="1:25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spans="1:25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spans="1:25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spans="1:25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spans="1:25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spans="1:25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spans="1:25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spans="1:25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spans="1:25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spans="1:25" x14ac:dyDescent="0.2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spans="1:25" x14ac:dyDescent="0.25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spans="1:25" x14ac:dyDescent="0.25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spans="1:25" x14ac:dyDescent="0.25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spans="1:25" x14ac:dyDescent="0.2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spans="1:25" x14ac:dyDescent="0.25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spans="1:25" x14ac:dyDescent="0.25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spans="1:25" x14ac:dyDescent="0.25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 spans="1:25" x14ac:dyDescent="0.25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 spans="1:25" x14ac:dyDescent="0.25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 spans="1:25" x14ac:dyDescent="0.25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 spans="1:25" x14ac:dyDescent="0.25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 spans="1:25" x14ac:dyDescent="0.25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  <row r="1014" spans="1:25" x14ac:dyDescent="0.25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</row>
    <row r="1015" spans="1:25" x14ac:dyDescent="0.2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</row>
  </sheetData>
  <conditionalFormatting sqref="A103">
    <cfRule type="notContainsBlanks" dxfId="193" priority="40">
      <formula>LEN(TRIM(A103))&gt;0</formula>
    </cfRule>
  </conditionalFormatting>
  <conditionalFormatting sqref="A104">
    <cfRule type="notContainsBlanks" dxfId="192" priority="39">
      <formula>LEN(TRIM(A104))&gt;0</formula>
    </cfRule>
  </conditionalFormatting>
  <conditionalFormatting sqref="A105">
    <cfRule type="notContainsBlanks" dxfId="191" priority="38">
      <formula>LEN(TRIM(A105))&gt;0</formula>
    </cfRule>
  </conditionalFormatting>
  <conditionalFormatting sqref="B99">
    <cfRule type="notContainsBlanks" dxfId="190" priority="43">
      <formula>LEN(TRIM(B99))&gt;0</formula>
    </cfRule>
  </conditionalFormatting>
  <conditionalFormatting sqref="B7:L7 B11:L11 B16:L16 B20:L20 B34:L34 B39:L39 B61:L61">
    <cfRule type="cellIs" dxfId="189" priority="1" operator="greaterThan">
      <formula>0</formula>
    </cfRule>
  </conditionalFormatting>
  <conditionalFormatting sqref="B23:M24">
    <cfRule type="cellIs" dxfId="188" priority="12" operator="lessThanOrEqual">
      <formula>6</formula>
    </cfRule>
    <cfRule type="cellIs" dxfId="187" priority="13" operator="greaterThan">
      <formula>6</formula>
    </cfRule>
  </conditionalFormatting>
  <conditionalFormatting sqref="B43:M43">
    <cfRule type="cellIs" dxfId="186" priority="10" operator="greaterThan">
      <formula>10</formula>
    </cfRule>
    <cfRule type="cellIs" dxfId="185" priority="11" operator="lessThanOrEqual">
      <formula>10</formula>
    </cfRule>
  </conditionalFormatting>
  <conditionalFormatting sqref="B44:M44">
    <cfRule type="cellIs" dxfId="184" priority="8" operator="lessThan">
      <formula>"90%"</formula>
    </cfRule>
    <cfRule type="cellIs" dxfId="183" priority="9" operator="greaterThanOrEqual">
      <formula>"90%"</formula>
    </cfRule>
  </conditionalFormatting>
  <conditionalFormatting sqref="B89:M89">
    <cfRule type="cellIs" dxfId="182" priority="6" operator="lessThan">
      <formula>0.8</formula>
    </cfRule>
    <cfRule type="cellIs" dxfId="181" priority="7" operator="greaterThanOrEqual">
      <formula>0.8</formula>
    </cfRule>
  </conditionalFormatting>
  <conditionalFormatting sqref="B90:M90">
    <cfRule type="cellIs" dxfId="180" priority="4" operator="greaterThanOrEqual">
      <formula>0.75</formula>
    </cfRule>
    <cfRule type="cellIs" dxfId="179" priority="5" operator="lessThan">
      <formula>0.75</formula>
    </cfRule>
  </conditionalFormatting>
  <conditionalFormatting sqref="B91:M92">
    <cfRule type="cellIs" dxfId="178" priority="2" operator="greaterThanOrEqual">
      <formula>0.5</formula>
    </cfRule>
    <cfRule type="cellIs" dxfId="177" priority="3" operator="lessThan">
      <formula>0.5</formula>
    </cfRule>
  </conditionalFormatting>
  <conditionalFormatting sqref="C60">
    <cfRule type="cellIs" dxfId="176" priority="24" operator="greaterThanOrEqual">
      <formula>356.5</formula>
    </cfRule>
    <cfRule type="cellIs" dxfId="175" priority="25" operator="lessThan">
      <formula>356.5</formula>
    </cfRule>
  </conditionalFormatting>
  <conditionalFormatting sqref="C70">
    <cfRule type="cellIs" dxfId="174" priority="48" operator="equal">
      <formula>"3:00"</formula>
    </cfRule>
  </conditionalFormatting>
  <conditionalFormatting sqref="C75">
    <cfRule type="cellIs" dxfId="173" priority="51" operator="equal">
      <formula>"2:00"</formula>
    </cfRule>
  </conditionalFormatting>
  <conditionalFormatting sqref="C80">
    <cfRule type="cellIs" dxfId="172" priority="52" operator="equal">
      <formula>"2:00"</formula>
    </cfRule>
  </conditionalFormatting>
  <conditionalFormatting sqref="C99:E99">
    <cfRule type="notContainsBlanks" dxfId="171" priority="44">
      <formula>LEN(TRIM(C99))&gt;0</formula>
    </cfRule>
  </conditionalFormatting>
  <conditionalFormatting sqref="D60">
    <cfRule type="cellIs" dxfId="170" priority="22" operator="greaterThanOrEqual">
      <formula>382.5</formula>
    </cfRule>
    <cfRule type="cellIs" dxfId="169" priority="23" operator="lessThan">
      <formula>382.5</formula>
    </cfRule>
  </conditionalFormatting>
  <conditionalFormatting sqref="E60">
    <cfRule type="cellIs" dxfId="168" priority="20" operator="greaterThanOrEqual">
      <formula>365</formula>
    </cfRule>
    <cfRule type="cellIs" dxfId="167" priority="21" operator="lessThan">
      <formula>365</formula>
    </cfRule>
  </conditionalFormatting>
  <conditionalFormatting sqref="F60">
    <cfRule type="cellIs" dxfId="166" priority="18" operator="greaterThanOrEqual">
      <formula>352.5</formula>
    </cfRule>
    <cfRule type="cellIs" dxfId="165" priority="19" operator="lessThan">
      <formula>352.5</formula>
    </cfRule>
  </conditionalFormatting>
  <conditionalFormatting sqref="F99:G99">
    <cfRule type="notContainsBlanks" dxfId="164" priority="45">
      <formula>LEN(TRIM(F99))&gt;0</formula>
    </cfRule>
  </conditionalFormatting>
  <conditionalFormatting sqref="G60">
    <cfRule type="cellIs" dxfId="163" priority="16" operator="greaterThanOrEqual">
      <formula>316.75</formula>
    </cfRule>
    <cfRule type="cellIs" dxfId="162" priority="17" operator="lessThan">
      <formula>316.75</formula>
    </cfRule>
  </conditionalFormatting>
  <conditionalFormatting sqref="G70">
    <cfRule type="cellIs" dxfId="161" priority="49" operator="equal">
      <formula>"3:00"</formula>
    </cfRule>
  </conditionalFormatting>
  <conditionalFormatting sqref="H60">
    <cfRule type="cellIs" dxfId="160" priority="36" operator="greaterThanOrEqual">
      <formula>337.5</formula>
    </cfRule>
    <cfRule type="cellIs" dxfId="159" priority="37" operator="lessThan">
      <formula>337.5</formula>
    </cfRule>
  </conditionalFormatting>
  <conditionalFormatting sqref="H75">
    <cfRule type="cellIs" dxfId="158" priority="56" operator="equal">
      <formula>"2:00"</formula>
    </cfRule>
  </conditionalFormatting>
  <conditionalFormatting sqref="H80">
    <cfRule type="cellIs" dxfId="157" priority="57" operator="equal">
      <formula>"2:00"</formula>
    </cfRule>
  </conditionalFormatting>
  <conditionalFormatting sqref="H99:I99">
    <cfRule type="notContainsBlanks" dxfId="156" priority="42">
      <formula>LEN(TRIM(H99))&gt;0</formula>
    </cfRule>
  </conditionalFormatting>
  <conditionalFormatting sqref="I60">
    <cfRule type="cellIs" dxfId="155" priority="34" operator="greaterThanOrEqual">
      <formula>308</formula>
    </cfRule>
    <cfRule type="cellIs" dxfId="154" priority="35" operator="lessThan">
      <formula>308</formula>
    </cfRule>
  </conditionalFormatting>
  <conditionalFormatting sqref="I85">
    <cfRule type="cellIs" dxfId="153" priority="53" operator="greaterThanOrEqual">
      <formula>"3:00"</formula>
    </cfRule>
  </conditionalFormatting>
  <conditionalFormatting sqref="J60">
    <cfRule type="cellIs" dxfId="152" priority="32" operator="lessThan">
      <formula>337.5</formula>
    </cfRule>
    <cfRule type="cellIs" dxfId="151" priority="33" operator="greaterThanOrEqual">
      <formula>337.5</formula>
    </cfRule>
  </conditionalFormatting>
  <conditionalFormatting sqref="K60">
    <cfRule type="cellIs" dxfId="150" priority="26" operator="greaterThanOrEqual">
      <formula>379.25</formula>
    </cfRule>
    <cfRule type="cellIs" dxfId="149" priority="27" operator="lessThan">
      <formula>379.25</formula>
    </cfRule>
  </conditionalFormatting>
  <conditionalFormatting sqref="K99">
    <cfRule type="notContainsBlanks" dxfId="148" priority="46">
      <formula>LEN(TRIM(K99))&gt;0</formula>
    </cfRule>
  </conditionalFormatting>
  <conditionalFormatting sqref="K70:L70">
    <cfRule type="cellIs" dxfId="147" priority="50" operator="equal">
      <formula>"3:00"</formula>
    </cfRule>
  </conditionalFormatting>
  <conditionalFormatting sqref="L60">
    <cfRule type="cellIs" dxfId="146" priority="30" operator="greaterThanOrEqual">
      <formula>332</formula>
    </cfRule>
    <cfRule type="cellIs" dxfId="145" priority="31" operator="lessThan">
      <formula>332</formula>
    </cfRule>
  </conditionalFormatting>
  <conditionalFormatting sqref="L75">
    <cfRule type="cellIs" dxfId="144" priority="55" operator="equal">
      <formula>"2:00"</formula>
    </cfRule>
  </conditionalFormatting>
  <conditionalFormatting sqref="L80">
    <cfRule type="cellIs" dxfId="143" priority="54" operator="equal">
      <formula>"2:00"</formula>
    </cfRule>
  </conditionalFormatting>
  <conditionalFormatting sqref="L99">
    <cfRule type="notContainsBlanks" dxfId="142" priority="47">
      <formula>LEN(TRIM(L99))&gt;0</formula>
    </cfRule>
  </conditionalFormatting>
  <conditionalFormatting sqref="M60">
    <cfRule type="cellIs" dxfId="141" priority="28" operator="greaterThanOrEqual">
      <formula>405</formula>
    </cfRule>
    <cfRule type="cellIs" dxfId="140" priority="29" operator="lessThan">
      <formula>405</formula>
    </cfRule>
  </conditionalFormatting>
  <conditionalFormatting sqref="M99">
    <cfRule type="notContainsBlanks" dxfId="139" priority="41">
      <formula>LEN(TRIM(M99))&gt;0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16"/>
  <sheetViews>
    <sheetView workbookViewId="0">
      <selection activeCell="Q1" sqref="Q1:Q1048576"/>
    </sheetView>
  </sheetViews>
  <sheetFormatPr defaultColWidth="12.6640625" defaultRowHeight="15.75" customHeight="1" x14ac:dyDescent="0.25"/>
  <cols>
    <col min="1" max="1" width="27.21875" customWidth="1"/>
    <col min="14" max="14" width="21.21875" customWidth="1"/>
    <col min="15" max="15" width="12.77734375" customWidth="1"/>
    <col min="16" max="16" width="16.77734375" customWidth="1"/>
  </cols>
  <sheetData>
    <row r="1" spans="1:26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x14ac:dyDescent="0.25">
      <c r="A3" s="14" t="s">
        <v>103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x14ac:dyDescent="0.25">
      <c r="A4" s="15" t="s">
        <v>104</v>
      </c>
      <c r="B4" s="44" t="s">
        <v>229</v>
      </c>
      <c r="C4" s="44" t="s">
        <v>230</v>
      </c>
      <c r="D4" s="44" t="s">
        <v>231</v>
      </c>
      <c r="E4" s="16" t="s">
        <v>15</v>
      </c>
      <c r="F4" s="16" t="s">
        <v>16</v>
      </c>
      <c r="G4" s="16" t="s">
        <v>26</v>
      </c>
      <c r="H4" s="16" t="s">
        <v>17</v>
      </c>
      <c r="I4" s="16" t="s">
        <v>27</v>
      </c>
      <c r="J4" s="16" t="s">
        <v>28</v>
      </c>
      <c r="K4" s="16" t="s">
        <v>29</v>
      </c>
      <c r="L4" s="16" t="s">
        <v>18</v>
      </c>
      <c r="M4" s="16" t="s">
        <v>20</v>
      </c>
      <c r="N4" s="16" t="s">
        <v>232</v>
      </c>
      <c r="O4" s="61" t="s">
        <v>30</v>
      </c>
      <c r="P4" s="61" t="s">
        <v>19</v>
      </c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x14ac:dyDescent="0.25">
      <c r="A5" s="17" t="s">
        <v>107</v>
      </c>
      <c r="B5" s="19">
        <v>25</v>
      </c>
      <c r="C5" s="19">
        <v>45</v>
      </c>
      <c r="D5" s="19">
        <v>34</v>
      </c>
      <c r="E5" s="19">
        <v>36</v>
      </c>
      <c r="F5" s="19">
        <v>34</v>
      </c>
      <c r="G5" s="19">
        <v>24</v>
      </c>
      <c r="H5" s="19">
        <v>38</v>
      </c>
      <c r="I5" s="19">
        <v>32</v>
      </c>
      <c r="J5" s="19">
        <v>37</v>
      </c>
      <c r="K5" s="19">
        <v>32</v>
      </c>
      <c r="L5" s="19">
        <v>35</v>
      </c>
      <c r="M5" s="19" t="s">
        <v>187</v>
      </c>
      <c r="N5" s="19">
        <v>42</v>
      </c>
      <c r="O5" s="20">
        <v>28</v>
      </c>
      <c r="P5" s="20">
        <v>42</v>
      </c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x14ac:dyDescent="0.25">
      <c r="A6" s="17" t="s">
        <v>108</v>
      </c>
      <c r="B6" s="19" t="s">
        <v>111</v>
      </c>
      <c r="C6" s="19" t="s">
        <v>111</v>
      </c>
      <c r="D6" s="19" t="s">
        <v>111</v>
      </c>
      <c r="E6" s="19" t="s">
        <v>111</v>
      </c>
      <c r="F6" s="19" t="s">
        <v>111</v>
      </c>
      <c r="G6" s="19" t="s">
        <v>111</v>
      </c>
      <c r="H6" s="19" t="s">
        <v>111</v>
      </c>
      <c r="I6" s="19" t="s">
        <v>111</v>
      </c>
      <c r="J6" s="19" t="s">
        <v>111</v>
      </c>
      <c r="K6" s="19" t="s">
        <v>111</v>
      </c>
      <c r="L6" s="19" t="s">
        <v>113</v>
      </c>
      <c r="M6" s="19" t="s">
        <v>187</v>
      </c>
      <c r="N6" s="19" t="s">
        <v>111</v>
      </c>
      <c r="O6" s="20" t="s">
        <v>111</v>
      </c>
      <c r="P6" s="20" t="s">
        <v>111</v>
      </c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x14ac:dyDescent="0.25">
      <c r="A7" s="17" t="s">
        <v>114</v>
      </c>
      <c r="B7" s="19" t="s">
        <v>113</v>
      </c>
      <c r="C7" s="19" t="s">
        <v>113</v>
      </c>
      <c r="D7" s="19" t="s">
        <v>113</v>
      </c>
      <c r="E7" s="19" t="s">
        <v>113</v>
      </c>
      <c r="F7" s="19" t="s">
        <v>113</v>
      </c>
      <c r="G7" s="19" t="s">
        <v>113</v>
      </c>
      <c r="H7" s="19" t="s">
        <v>113</v>
      </c>
      <c r="I7" s="19" t="s">
        <v>113</v>
      </c>
      <c r="J7" s="19" t="s">
        <v>113</v>
      </c>
      <c r="K7" s="19" t="s">
        <v>113</v>
      </c>
      <c r="L7" s="19" t="s">
        <v>113</v>
      </c>
      <c r="M7" s="19" t="s">
        <v>187</v>
      </c>
      <c r="N7" s="19" t="s">
        <v>113</v>
      </c>
      <c r="O7" s="20" t="s">
        <v>113</v>
      </c>
      <c r="P7" s="20" t="s">
        <v>113</v>
      </c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x14ac:dyDescent="0.25">
      <c r="A9" s="17" t="s">
        <v>115</v>
      </c>
      <c r="B9" s="19">
        <v>37</v>
      </c>
      <c r="C9" s="19">
        <v>47</v>
      </c>
      <c r="D9" s="19">
        <v>43</v>
      </c>
      <c r="E9" s="19">
        <v>30</v>
      </c>
      <c r="F9" s="19">
        <v>40</v>
      </c>
      <c r="G9" s="19">
        <v>28</v>
      </c>
      <c r="H9" s="19">
        <v>42</v>
      </c>
      <c r="I9" s="19">
        <v>38</v>
      </c>
      <c r="J9" s="19">
        <v>41</v>
      </c>
      <c r="K9" s="19">
        <v>37</v>
      </c>
      <c r="L9" s="19">
        <v>34</v>
      </c>
      <c r="M9" s="19" t="s">
        <v>187</v>
      </c>
      <c r="N9" s="19">
        <v>44</v>
      </c>
      <c r="O9" s="20">
        <v>32</v>
      </c>
      <c r="P9" s="20">
        <v>50</v>
      </c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x14ac:dyDescent="0.25">
      <c r="A10" s="17" t="s">
        <v>108</v>
      </c>
      <c r="B10" s="19" t="s">
        <v>112</v>
      </c>
      <c r="C10" s="19" t="s">
        <v>112</v>
      </c>
      <c r="D10" s="19" t="s">
        <v>111</v>
      </c>
      <c r="E10" s="19" t="s">
        <v>210</v>
      </c>
      <c r="F10" s="19" t="s">
        <v>111</v>
      </c>
      <c r="G10" s="19" t="s">
        <v>109</v>
      </c>
      <c r="H10" s="19" t="s">
        <v>111</v>
      </c>
      <c r="I10" s="19" t="s">
        <v>112</v>
      </c>
      <c r="J10" s="19" t="s">
        <v>112</v>
      </c>
      <c r="K10" s="19" t="s">
        <v>109</v>
      </c>
      <c r="L10" s="19" t="s">
        <v>113</v>
      </c>
      <c r="M10" s="19" t="s">
        <v>187</v>
      </c>
      <c r="N10" s="19" t="s">
        <v>109</v>
      </c>
      <c r="O10" s="20" t="s">
        <v>111</v>
      </c>
      <c r="P10" s="20" t="s">
        <v>109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x14ac:dyDescent="0.25">
      <c r="A11" s="17" t="s">
        <v>114</v>
      </c>
      <c r="B11" s="19">
        <v>1</v>
      </c>
      <c r="C11" s="19" t="s">
        <v>113</v>
      </c>
      <c r="D11" s="19" t="s">
        <v>113</v>
      </c>
      <c r="E11" s="19" t="s">
        <v>113</v>
      </c>
      <c r="F11" s="19" t="s">
        <v>113</v>
      </c>
      <c r="G11" s="19" t="s">
        <v>113</v>
      </c>
      <c r="H11" s="19" t="s">
        <v>113</v>
      </c>
      <c r="I11" s="19" t="s">
        <v>113</v>
      </c>
      <c r="J11" s="19">
        <v>4</v>
      </c>
      <c r="K11" s="19" t="s">
        <v>113</v>
      </c>
      <c r="L11" s="19" t="s">
        <v>113</v>
      </c>
      <c r="M11" s="19" t="s">
        <v>187</v>
      </c>
      <c r="N11" s="19" t="s">
        <v>113</v>
      </c>
      <c r="O11" s="20" t="s">
        <v>113</v>
      </c>
      <c r="P11" s="20" t="s">
        <v>113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x14ac:dyDescent="0.25">
      <c r="A13" s="15" t="s">
        <v>121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x14ac:dyDescent="0.25">
      <c r="A14" s="17" t="s">
        <v>107</v>
      </c>
      <c r="B14" s="19">
        <v>21</v>
      </c>
      <c r="C14" s="19">
        <v>45</v>
      </c>
      <c r="D14" s="19">
        <v>35</v>
      </c>
      <c r="E14" s="19">
        <v>27</v>
      </c>
      <c r="F14" s="19">
        <v>27</v>
      </c>
      <c r="G14" s="19">
        <v>27</v>
      </c>
      <c r="H14" s="19">
        <v>35</v>
      </c>
      <c r="I14" s="19">
        <v>33</v>
      </c>
      <c r="J14" s="19">
        <v>34</v>
      </c>
      <c r="K14" s="19">
        <v>28</v>
      </c>
      <c r="L14" s="19">
        <v>27</v>
      </c>
      <c r="M14" s="19" t="s">
        <v>187</v>
      </c>
      <c r="N14" s="19">
        <v>45</v>
      </c>
      <c r="O14" s="20">
        <v>28</v>
      </c>
      <c r="P14" s="20">
        <v>43</v>
      </c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x14ac:dyDescent="0.25">
      <c r="A15" s="17" t="s">
        <v>108</v>
      </c>
      <c r="B15" s="19" t="s">
        <v>111</v>
      </c>
      <c r="C15" s="19" t="s">
        <v>111</v>
      </c>
      <c r="D15" s="19" t="s">
        <v>111</v>
      </c>
      <c r="E15" s="19" t="s">
        <v>111</v>
      </c>
      <c r="F15" s="19" t="s">
        <v>111</v>
      </c>
      <c r="G15" s="19" t="s">
        <v>233</v>
      </c>
      <c r="H15" s="19" t="s">
        <v>111</v>
      </c>
      <c r="I15" s="19" t="s">
        <v>111</v>
      </c>
      <c r="J15" s="19" t="s">
        <v>111</v>
      </c>
      <c r="K15" s="19" t="s">
        <v>111</v>
      </c>
      <c r="L15" s="19" t="s">
        <v>113</v>
      </c>
      <c r="M15" s="19" t="s">
        <v>187</v>
      </c>
      <c r="N15" s="19" t="s">
        <v>111</v>
      </c>
      <c r="O15" s="20" t="s">
        <v>111</v>
      </c>
      <c r="P15" s="20" t="s">
        <v>111</v>
      </c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x14ac:dyDescent="0.25">
      <c r="A16" s="17" t="s">
        <v>114</v>
      </c>
      <c r="B16" s="19" t="s">
        <v>113</v>
      </c>
      <c r="C16" s="19" t="s">
        <v>113</v>
      </c>
      <c r="D16" s="19" t="s">
        <v>113</v>
      </c>
      <c r="E16" s="19" t="s">
        <v>113</v>
      </c>
      <c r="F16" s="19" t="s">
        <v>113</v>
      </c>
      <c r="G16" s="19" t="s">
        <v>113</v>
      </c>
      <c r="H16" s="19" t="s">
        <v>113</v>
      </c>
      <c r="I16" s="19" t="s">
        <v>113</v>
      </c>
      <c r="J16" s="19" t="s">
        <v>113</v>
      </c>
      <c r="K16" s="19" t="s">
        <v>113</v>
      </c>
      <c r="L16" s="19" t="s">
        <v>113</v>
      </c>
      <c r="M16" s="19" t="s">
        <v>187</v>
      </c>
      <c r="N16" s="19" t="s">
        <v>113</v>
      </c>
      <c r="O16" s="20" t="s">
        <v>113</v>
      </c>
      <c r="P16" s="20" t="s">
        <v>113</v>
      </c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x14ac:dyDescent="0.25">
      <c r="A18" s="17" t="s">
        <v>115</v>
      </c>
      <c r="B18" s="19">
        <v>39</v>
      </c>
      <c r="C18" s="19">
        <v>48</v>
      </c>
      <c r="D18" s="19">
        <v>42</v>
      </c>
      <c r="E18" s="19">
        <v>35</v>
      </c>
      <c r="F18" s="19">
        <v>35</v>
      </c>
      <c r="G18" s="19">
        <v>28</v>
      </c>
      <c r="H18" s="19">
        <v>40</v>
      </c>
      <c r="I18" s="19">
        <v>33</v>
      </c>
      <c r="J18" s="19">
        <v>39</v>
      </c>
      <c r="K18" s="19">
        <v>34</v>
      </c>
      <c r="L18" s="19">
        <v>37</v>
      </c>
      <c r="M18" s="19" t="s">
        <v>187</v>
      </c>
      <c r="N18" s="19">
        <v>45</v>
      </c>
      <c r="O18" s="20">
        <v>35</v>
      </c>
      <c r="P18" s="20">
        <v>46</v>
      </c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x14ac:dyDescent="0.25">
      <c r="A19" s="17" t="s">
        <v>108</v>
      </c>
      <c r="B19" s="19" t="s">
        <v>111</v>
      </c>
      <c r="C19" s="19" t="s">
        <v>109</v>
      </c>
      <c r="D19" s="19" t="s">
        <v>111</v>
      </c>
      <c r="E19" s="19" t="s">
        <v>112</v>
      </c>
      <c r="F19" s="19" t="s">
        <v>111</v>
      </c>
      <c r="G19" s="19" t="s">
        <v>109</v>
      </c>
      <c r="H19" s="19" t="s">
        <v>111</v>
      </c>
      <c r="I19" s="19" t="s">
        <v>109</v>
      </c>
      <c r="J19" s="19" t="s">
        <v>112</v>
      </c>
      <c r="K19" s="19" t="s">
        <v>109</v>
      </c>
      <c r="L19" s="19" t="s">
        <v>113</v>
      </c>
      <c r="M19" s="19" t="s">
        <v>187</v>
      </c>
      <c r="N19" s="19" t="s">
        <v>109</v>
      </c>
      <c r="O19" s="20" t="s">
        <v>112</v>
      </c>
      <c r="P19" s="20" t="s">
        <v>109</v>
      </c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x14ac:dyDescent="0.25">
      <c r="A20" s="17" t="s">
        <v>114</v>
      </c>
      <c r="B20" s="19" t="s">
        <v>113</v>
      </c>
      <c r="C20" s="19" t="s">
        <v>113</v>
      </c>
      <c r="D20" s="19" t="s">
        <v>113</v>
      </c>
      <c r="E20" s="19" t="s">
        <v>113</v>
      </c>
      <c r="F20" s="19" t="s">
        <v>113</v>
      </c>
      <c r="G20" s="19" t="s">
        <v>113</v>
      </c>
      <c r="H20" s="19" t="s">
        <v>113</v>
      </c>
      <c r="I20" s="19" t="s">
        <v>113</v>
      </c>
      <c r="J20" s="19">
        <v>6</v>
      </c>
      <c r="K20" s="19" t="s">
        <v>113</v>
      </c>
      <c r="L20" s="19" t="s">
        <v>113</v>
      </c>
      <c r="M20" s="19" t="s">
        <v>187</v>
      </c>
      <c r="N20" s="19" t="s">
        <v>113</v>
      </c>
      <c r="O20" s="20" t="s">
        <v>113</v>
      </c>
      <c r="P20" s="20" t="s">
        <v>113</v>
      </c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x14ac:dyDescent="0.25">
      <c r="A22" s="15" t="s">
        <v>123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x14ac:dyDescent="0.25">
      <c r="A23" s="17" t="s">
        <v>124</v>
      </c>
      <c r="B23" s="45">
        <f t="shared" ref="B23:P23" si="0">IF(B5&gt;B14,B5-B14,B14-B5)</f>
        <v>4</v>
      </c>
      <c r="C23" s="45">
        <f t="shared" si="0"/>
        <v>0</v>
      </c>
      <c r="D23" s="45">
        <f t="shared" si="0"/>
        <v>1</v>
      </c>
      <c r="E23" s="45">
        <f t="shared" si="0"/>
        <v>9</v>
      </c>
      <c r="F23" s="45">
        <f t="shared" si="0"/>
        <v>7</v>
      </c>
      <c r="G23" s="45">
        <f t="shared" si="0"/>
        <v>3</v>
      </c>
      <c r="H23" s="45">
        <f t="shared" si="0"/>
        <v>3</v>
      </c>
      <c r="I23" s="45">
        <f t="shared" si="0"/>
        <v>1</v>
      </c>
      <c r="J23" s="45">
        <f t="shared" si="0"/>
        <v>3</v>
      </c>
      <c r="K23" s="45">
        <f t="shared" si="0"/>
        <v>4</v>
      </c>
      <c r="L23" s="45">
        <f t="shared" si="0"/>
        <v>8</v>
      </c>
      <c r="M23" s="45" t="e">
        <f t="shared" si="0"/>
        <v>#VALUE!</v>
      </c>
      <c r="N23" s="45">
        <f t="shared" si="0"/>
        <v>3</v>
      </c>
      <c r="O23" s="53">
        <f t="shared" si="0"/>
        <v>0</v>
      </c>
      <c r="P23" s="53">
        <f t="shared" si="0"/>
        <v>1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x14ac:dyDescent="0.25">
      <c r="A24" s="17" t="s">
        <v>125</v>
      </c>
      <c r="B24" s="25">
        <f t="shared" ref="B24:P24" si="1">IF(B9&gt;B18,B9-B18,B18-B9)</f>
        <v>2</v>
      </c>
      <c r="C24" s="25">
        <f t="shared" si="1"/>
        <v>1</v>
      </c>
      <c r="D24" s="25">
        <f t="shared" si="1"/>
        <v>1</v>
      </c>
      <c r="E24" s="25">
        <f t="shared" si="1"/>
        <v>5</v>
      </c>
      <c r="F24" s="25">
        <f t="shared" si="1"/>
        <v>5</v>
      </c>
      <c r="G24" s="25">
        <f t="shared" si="1"/>
        <v>0</v>
      </c>
      <c r="H24" s="25">
        <f t="shared" si="1"/>
        <v>2</v>
      </c>
      <c r="I24" s="25">
        <f t="shared" si="1"/>
        <v>5</v>
      </c>
      <c r="J24" s="25">
        <f t="shared" si="1"/>
        <v>2</v>
      </c>
      <c r="K24" s="25">
        <f t="shared" si="1"/>
        <v>3</v>
      </c>
      <c r="L24" s="25">
        <f t="shared" si="1"/>
        <v>3</v>
      </c>
      <c r="M24" s="25" t="e">
        <f t="shared" si="1"/>
        <v>#VALUE!</v>
      </c>
      <c r="N24" s="25">
        <f t="shared" si="1"/>
        <v>1</v>
      </c>
      <c r="O24" s="25">
        <f t="shared" si="1"/>
        <v>3</v>
      </c>
      <c r="P24" s="25">
        <f t="shared" si="1"/>
        <v>4</v>
      </c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x14ac:dyDescent="0.25"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x14ac:dyDescent="0.25"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x14ac:dyDescent="0.25">
      <c r="H27" s="13"/>
      <c r="I27" s="13"/>
      <c r="J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x14ac:dyDescent="0.25">
      <c r="H28" s="13"/>
      <c r="I28" s="13"/>
      <c r="J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x14ac:dyDescent="0.25">
      <c r="A30" s="14" t="s">
        <v>126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x14ac:dyDescent="0.25">
      <c r="A31" s="15" t="s">
        <v>104</v>
      </c>
      <c r="B31" s="44" t="s">
        <v>229</v>
      </c>
      <c r="C31" s="44" t="s">
        <v>230</v>
      </c>
      <c r="D31" s="44" t="s">
        <v>231</v>
      </c>
      <c r="E31" s="16" t="s">
        <v>15</v>
      </c>
      <c r="F31" s="16" t="s">
        <v>16</v>
      </c>
      <c r="G31" s="16" t="s">
        <v>26</v>
      </c>
      <c r="H31" s="16" t="s">
        <v>17</v>
      </c>
      <c r="I31" s="16" t="s">
        <v>27</v>
      </c>
      <c r="J31" s="16" t="s">
        <v>28</v>
      </c>
      <c r="K31" s="16" t="s">
        <v>29</v>
      </c>
      <c r="L31" s="16" t="s">
        <v>18</v>
      </c>
      <c r="M31" s="16" t="s">
        <v>20</v>
      </c>
      <c r="N31" s="21" t="s">
        <v>232</v>
      </c>
      <c r="O31" s="61" t="s">
        <v>30</v>
      </c>
      <c r="P31" s="61" t="s">
        <v>19</v>
      </c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x14ac:dyDescent="0.25">
      <c r="A32" s="17" t="s">
        <v>127</v>
      </c>
      <c r="B32" s="19">
        <v>25</v>
      </c>
      <c r="C32" s="19">
        <v>45</v>
      </c>
      <c r="D32" s="19">
        <v>60</v>
      </c>
      <c r="E32" s="19">
        <v>25</v>
      </c>
      <c r="F32" s="19">
        <v>30</v>
      </c>
      <c r="G32" s="19">
        <v>31</v>
      </c>
      <c r="H32" s="19">
        <v>40</v>
      </c>
      <c r="I32" s="19">
        <v>30</v>
      </c>
      <c r="J32" s="19">
        <v>16</v>
      </c>
      <c r="K32" s="19">
        <v>24</v>
      </c>
      <c r="L32" s="19">
        <v>30</v>
      </c>
      <c r="M32" s="19" t="s">
        <v>234</v>
      </c>
      <c r="N32" s="19">
        <v>60</v>
      </c>
      <c r="O32" s="20">
        <v>38</v>
      </c>
      <c r="P32" s="20">
        <v>38</v>
      </c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x14ac:dyDescent="0.25">
      <c r="A33" s="28" t="s">
        <v>128</v>
      </c>
      <c r="B33" s="19" t="s">
        <v>132</v>
      </c>
      <c r="C33" s="19" t="s">
        <v>235</v>
      </c>
      <c r="D33" s="19" t="s">
        <v>129</v>
      </c>
      <c r="E33" s="19" t="s">
        <v>132</v>
      </c>
      <c r="F33" s="19" t="s">
        <v>132</v>
      </c>
      <c r="G33" s="19" t="s">
        <v>134</v>
      </c>
      <c r="H33" s="19" t="s">
        <v>132</v>
      </c>
      <c r="I33" s="19" t="s">
        <v>132</v>
      </c>
      <c r="J33" s="19" t="s">
        <v>132</v>
      </c>
      <c r="K33" s="19" t="s">
        <v>132</v>
      </c>
      <c r="L33" s="19" t="s">
        <v>132</v>
      </c>
      <c r="M33" s="19" t="s">
        <v>234</v>
      </c>
      <c r="N33" s="19" t="s">
        <v>129</v>
      </c>
      <c r="O33" s="20" t="s">
        <v>134</v>
      </c>
      <c r="P33" s="20" t="s">
        <v>132</v>
      </c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x14ac:dyDescent="0.25">
      <c r="A34" s="28" t="s">
        <v>135</v>
      </c>
      <c r="B34" s="19" t="s">
        <v>113</v>
      </c>
      <c r="C34" s="19">
        <v>2</v>
      </c>
      <c r="D34" s="19" t="s">
        <v>113</v>
      </c>
      <c r="E34" s="19" t="s">
        <v>113</v>
      </c>
      <c r="F34" s="19" t="s">
        <v>113</v>
      </c>
      <c r="G34" s="19">
        <v>2</v>
      </c>
      <c r="H34" s="19" t="s">
        <v>113</v>
      </c>
      <c r="I34" s="19" t="s">
        <v>113</v>
      </c>
      <c r="J34" s="19" t="s">
        <v>113</v>
      </c>
      <c r="K34" s="19" t="s">
        <v>113</v>
      </c>
      <c r="L34" s="19" t="s">
        <v>113</v>
      </c>
      <c r="M34" s="19" t="s">
        <v>234</v>
      </c>
      <c r="N34" s="19" t="s">
        <v>113</v>
      </c>
      <c r="O34" s="20">
        <v>1</v>
      </c>
      <c r="P34" s="20" t="s">
        <v>113</v>
      </c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x14ac:dyDescent="0.25">
      <c r="A36" s="15" t="s">
        <v>121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x14ac:dyDescent="0.25">
      <c r="A37" s="17" t="s">
        <v>127</v>
      </c>
      <c r="B37" s="19">
        <v>26</v>
      </c>
      <c r="C37" s="19">
        <v>45</v>
      </c>
      <c r="D37" s="19">
        <v>60</v>
      </c>
      <c r="E37" s="19">
        <v>30</v>
      </c>
      <c r="F37" s="19">
        <v>28</v>
      </c>
      <c r="G37" s="19">
        <v>34</v>
      </c>
      <c r="H37" s="19">
        <v>32</v>
      </c>
      <c r="I37" s="19">
        <v>33</v>
      </c>
      <c r="J37" s="19">
        <v>18</v>
      </c>
      <c r="K37" s="19">
        <v>20</v>
      </c>
      <c r="L37" s="19">
        <v>25</v>
      </c>
      <c r="M37" s="19" t="s">
        <v>234</v>
      </c>
      <c r="N37" s="19">
        <v>60</v>
      </c>
      <c r="O37" s="20">
        <v>60</v>
      </c>
      <c r="P37" s="20">
        <v>39</v>
      </c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x14ac:dyDescent="0.25">
      <c r="A38" s="28" t="s">
        <v>136</v>
      </c>
      <c r="B38" s="19" t="s">
        <v>132</v>
      </c>
      <c r="C38" s="19" t="s">
        <v>236</v>
      </c>
      <c r="D38" s="19" t="s">
        <v>129</v>
      </c>
      <c r="E38" s="19" t="s">
        <v>132</v>
      </c>
      <c r="F38" s="19" t="s">
        <v>134</v>
      </c>
      <c r="G38" s="19" t="s">
        <v>134</v>
      </c>
      <c r="H38" s="19" t="s">
        <v>132</v>
      </c>
      <c r="I38" s="19" t="s">
        <v>132</v>
      </c>
      <c r="J38" s="19" t="s">
        <v>132</v>
      </c>
      <c r="K38" s="19" t="s">
        <v>209</v>
      </c>
      <c r="L38" s="19" t="s">
        <v>132</v>
      </c>
      <c r="M38" s="19" t="s">
        <v>234</v>
      </c>
      <c r="N38" s="19" t="s">
        <v>132</v>
      </c>
      <c r="O38" s="20" t="s">
        <v>132</v>
      </c>
      <c r="P38" s="20" t="s">
        <v>132</v>
      </c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x14ac:dyDescent="0.25">
      <c r="A39" s="28" t="s">
        <v>135</v>
      </c>
      <c r="B39" s="19" t="s">
        <v>113</v>
      </c>
      <c r="C39" s="19">
        <v>2</v>
      </c>
      <c r="D39" s="19" t="s">
        <v>113</v>
      </c>
      <c r="E39" s="19" t="s">
        <v>113</v>
      </c>
      <c r="F39" s="19">
        <v>3</v>
      </c>
      <c r="G39" s="19">
        <v>2</v>
      </c>
      <c r="H39" s="19" t="s">
        <v>113</v>
      </c>
      <c r="I39" s="19" t="s">
        <v>113</v>
      </c>
      <c r="J39" s="19" t="s">
        <v>113</v>
      </c>
      <c r="K39" s="19">
        <v>7</v>
      </c>
      <c r="L39" s="19" t="s">
        <v>113</v>
      </c>
      <c r="M39" s="19" t="s">
        <v>234</v>
      </c>
      <c r="N39" s="19" t="s">
        <v>113</v>
      </c>
      <c r="O39" s="20" t="s">
        <v>113</v>
      </c>
      <c r="P39" s="20" t="s">
        <v>113</v>
      </c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x14ac:dyDescent="0.25">
      <c r="A40" s="13" t="s">
        <v>237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x14ac:dyDescent="0.25">
      <c r="A41" s="15" t="s">
        <v>123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x14ac:dyDescent="0.25">
      <c r="A42" s="17" t="s">
        <v>140</v>
      </c>
      <c r="B42" s="22">
        <f t="shared" ref="B42:P42" si="2">IF(B32&gt;B37,B32-B37,B37-B32)</f>
        <v>1</v>
      </c>
      <c r="C42" s="22">
        <f t="shared" si="2"/>
        <v>0</v>
      </c>
      <c r="D42" s="22">
        <f t="shared" si="2"/>
        <v>0</v>
      </c>
      <c r="E42" s="22">
        <f t="shared" si="2"/>
        <v>5</v>
      </c>
      <c r="F42" s="22">
        <f t="shared" si="2"/>
        <v>2</v>
      </c>
      <c r="G42" s="22">
        <f t="shared" si="2"/>
        <v>3</v>
      </c>
      <c r="H42" s="22">
        <f t="shared" si="2"/>
        <v>8</v>
      </c>
      <c r="I42" s="22">
        <f t="shared" si="2"/>
        <v>3</v>
      </c>
      <c r="J42" s="22">
        <f t="shared" si="2"/>
        <v>2</v>
      </c>
      <c r="K42" s="22">
        <f t="shared" si="2"/>
        <v>4</v>
      </c>
      <c r="L42" s="22">
        <f t="shared" si="2"/>
        <v>5</v>
      </c>
      <c r="M42" s="22" t="e">
        <f t="shared" si="2"/>
        <v>#VALUE!</v>
      </c>
      <c r="N42" s="22">
        <f t="shared" si="2"/>
        <v>0</v>
      </c>
      <c r="O42" s="23">
        <f t="shared" si="2"/>
        <v>22</v>
      </c>
      <c r="P42" s="23">
        <f t="shared" si="2"/>
        <v>1</v>
      </c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x14ac:dyDescent="0.25">
      <c r="A43" s="17" t="s">
        <v>141</v>
      </c>
      <c r="B43" s="29">
        <f t="shared" ref="B43:P43" si="3">IF(B32&lt;B37,B32/B37,B37/B32)</f>
        <v>0.96153846153846156</v>
      </c>
      <c r="C43" s="29">
        <f t="shared" si="3"/>
        <v>1</v>
      </c>
      <c r="D43" s="29">
        <f t="shared" si="3"/>
        <v>1</v>
      </c>
      <c r="E43" s="29">
        <f t="shared" si="3"/>
        <v>0.83333333333333337</v>
      </c>
      <c r="F43" s="29">
        <f t="shared" si="3"/>
        <v>0.93333333333333335</v>
      </c>
      <c r="G43" s="29">
        <f t="shared" si="3"/>
        <v>0.91176470588235292</v>
      </c>
      <c r="H43" s="29">
        <f t="shared" si="3"/>
        <v>0.8</v>
      </c>
      <c r="I43" s="29">
        <f t="shared" si="3"/>
        <v>0.90909090909090906</v>
      </c>
      <c r="J43" s="29">
        <f t="shared" si="3"/>
        <v>0.88888888888888884</v>
      </c>
      <c r="K43" s="29">
        <f t="shared" si="3"/>
        <v>0.83333333333333337</v>
      </c>
      <c r="L43" s="29">
        <f t="shared" si="3"/>
        <v>0.83333333333333337</v>
      </c>
      <c r="M43" s="29" t="e">
        <f t="shared" si="3"/>
        <v>#VALUE!</v>
      </c>
      <c r="N43" s="29">
        <f t="shared" si="3"/>
        <v>1</v>
      </c>
      <c r="O43" s="29">
        <f t="shared" si="3"/>
        <v>0.6333333333333333</v>
      </c>
      <c r="P43" s="29">
        <f t="shared" si="3"/>
        <v>0.97435897435897434</v>
      </c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x14ac:dyDescent="0.25">
      <c r="A44" s="13" t="s">
        <v>213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x14ac:dyDescent="0.25">
      <c r="A46" s="14" t="s">
        <v>142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x14ac:dyDescent="0.25">
      <c r="A47" s="30" t="s">
        <v>104</v>
      </c>
      <c r="B47" s="44" t="s">
        <v>229</v>
      </c>
      <c r="C47" s="44" t="s">
        <v>230</v>
      </c>
      <c r="D47" s="44" t="s">
        <v>231</v>
      </c>
      <c r="E47" s="16" t="s">
        <v>15</v>
      </c>
      <c r="F47" s="16" t="s">
        <v>16</v>
      </c>
      <c r="G47" s="16" t="s">
        <v>26</v>
      </c>
      <c r="H47" s="16" t="s">
        <v>17</v>
      </c>
      <c r="I47" s="16" t="s">
        <v>27</v>
      </c>
      <c r="J47" s="16" t="s">
        <v>28</v>
      </c>
      <c r="K47" s="16" t="s">
        <v>29</v>
      </c>
      <c r="L47" s="16" t="s">
        <v>18</v>
      </c>
      <c r="M47" s="16" t="s">
        <v>20</v>
      </c>
      <c r="N47" s="21" t="s">
        <v>232</v>
      </c>
      <c r="O47" s="61" t="s">
        <v>30</v>
      </c>
      <c r="P47" s="61" t="s">
        <v>19</v>
      </c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x14ac:dyDescent="0.25">
      <c r="A48" s="31" t="s">
        <v>143</v>
      </c>
      <c r="B48" s="20">
        <v>125</v>
      </c>
      <c r="C48" s="20">
        <v>100</v>
      </c>
      <c r="D48" s="20">
        <v>125</v>
      </c>
      <c r="E48" s="20">
        <v>95</v>
      </c>
      <c r="F48" s="20">
        <v>120</v>
      </c>
      <c r="G48" s="20">
        <v>117</v>
      </c>
      <c r="H48" s="20">
        <v>114</v>
      </c>
      <c r="I48" s="20">
        <v>113</v>
      </c>
      <c r="J48" s="20">
        <v>118</v>
      </c>
      <c r="K48" s="20">
        <v>132</v>
      </c>
      <c r="L48" s="20">
        <v>98</v>
      </c>
      <c r="M48" s="32"/>
      <c r="N48" s="20">
        <v>137</v>
      </c>
      <c r="O48" s="20">
        <v>136</v>
      </c>
      <c r="P48" s="20">
        <v>115</v>
      </c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x14ac:dyDescent="0.25">
      <c r="A49" s="31" t="s">
        <v>145</v>
      </c>
      <c r="B49" s="20">
        <v>80</v>
      </c>
      <c r="C49" s="20">
        <v>94</v>
      </c>
      <c r="D49" s="20">
        <v>57</v>
      </c>
      <c r="E49" s="20">
        <v>79</v>
      </c>
      <c r="F49" s="20">
        <v>73</v>
      </c>
      <c r="G49" s="20">
        <v>71</v>
      </c>
      <c r="H49" s="20">
        <v>70</v>
      </c>
      <c r="I49" s="20">
        <v>55</v>
      </c>
      <c r="J49" s="20">
        <v>65</v>
      </c>
      <c r="K49" s="20">
        <v>57</v>
      </c>
      <c r="L49" s="20">
        <v>65</v>
      </c>
      <c r="M49" s="32"/>
      <c r="N49" s="20">
        <v>64</v>
      </c>
      <c r="O49" s="20">
        <v>73</v>
      </c>
      <c r="P49" s="20">
        <v>73</v>
      </c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x14ac:dyDescent="0.25">
      <c r="A50" s="31" t="s">
        <v>114</v>
      </c>
      <c r="B50" s="20" t="s">
        <v>214</v>
      </c>
      <c r="C50" s="20" t="s">
        <v>158</v>
      </c>
      <c r="D50" s="20" t="s">
        <v>158</v>
      </c>
      <c r="E50" s="20" t="s">
        <v>158</v>
      </c>
      <c r="F50" s="20" t="s">
        <v>158</v>
      </c>
      <c r="G50" s="20" t="s">
        <v>158</v>
      </c>
      <c r="H50" s="20" t="s">
        <v>238</v>
      </c>
      <c r="I50" s="20" t="s">
        <v>158</v>
      </c>
      <c r="J50" s="20" t="s">
        <v>239</v>
      </c>
      <c r="K50" s="20" t="s">
        <v>146</v>
      </c>
      <c r="L50" s="20" t="s">
        <v>158</v>
      </c>
      <c r="M50" s="32"/>
      <c r="N50" s="20" t="s">
        <v>158</v>
      </c>
      <c r="O50" s="20" t="s">
        <v>158</v>
      </c>
      <c r="P50" s="20" t="s">
        <v>158</v>
      </c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x14ac:dyDescent="0.25">
      <c r="A52" s="30" t="s">
        <v>121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x14ac:dyDescent="0.25">
      <c r="A53" s="31" t="s">
        <v>143</v>
      </c>
      <c r="B53" s="20">
        <v>118</v>
      </c>
      <c r="C53" s="20">
        <v>90</v>
      </c>
      <c r="D53" s="20">
        <v>111</v>
      </c>
      <c r="E53" s="20">
        <v>116</v>
      </c>
      <c r="F53" s="20">
        <v>108</v>
      </c>
      <c r="G53" s="20">
        <v>114</v>
      </c>
      <c r="H53" s="20">
        <v>110</v>
      </c>
      <c r="I53" s="20">
        <v>116</v>
      </c>
      <c r="J53" s="20">
        <v>108</v>
      </c>
      <c r="K53" s="20">
        <v>112</v>
      </c>
      <c r="L53" s="20">
        <v>92</v>
      </c>
      <c r="M53" s="32"/>
      <c r="N53" s="20">
        <v>125</v>
      </c>
      <c r="O53" s="20">
        <v>125</v>
      </c>
      <c r="P53" s="20">
        <v>103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x14ac:dyDescent="0.25">
      <c r="A54" s="31" t="s">
        <v>145</v>
      </c>
      <c r="B54" s="20">
        <v>89</v>
      </c>
      <c r="C54" s="20">
        <v>85</v>
      </c>
      <c r="D54" s="20">
        <v>69</v>
      </c>
      <c r="E54" s="20">
        <v>60</v>
      </c>
      <c r="F54" s="20">
        <v>84</v>
      </c>
      <c r="G54" s="20">
        <v>79</v>
      </c>
      <c r="H54" s="20">
        <v>71</v>
      </c>
      <c r="I54" s="20">
        <v>67</v>
      </c>
      <c r="J54" s="20">
        <v>88</v>
      </c>
      <c r="K54" s="20">
        <v>70</v>
      </c>
      <c r="L54" s="20">
        <v>79</v>
      </c>
      <c r="M54" s="32"/>
      <c r="N54" s="20">
        <v>56</v>
      </c>
      <c r="O54" s="20">
        <v>81</v>
      </c>
      <c r="P54" s="20">
        <v>79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x14ac:dyDescent="0.25">
      <c r="A55" s="31" t="s">
        <v>114</v>
      </c>
      <c r="B55" s="20" t="s">
        <v>214</v>
      </c>
      <c r="C55" s="20" t="s">
        <v>158</v>
      </c>
      <c r="D55" s="20" t="s">
        <v>158</v>
      </c>
      <c r="E55" s="20" t="s">
        <v>158</v>
      </c>
      <c r="F55" s="20" t="s">
        <v>238</v>
      </c>
      <c r="G55" s="20" t="s">
        <v>240</v>
      </c>
      <c r="H55" s="20" t="s">
        <v>146</v>
      </c>
      <c r="I55" s="20" t="s">
        <v>158</v>
      </c>
      <c r="J55" s="20" t="s">
        <v>239</v>
      </c>
      <c r="K55" s="20" t="s">
        <v>241</v>
      </c>
      <c r="L55" s="20" t="s">
        <v>158</v>
      </c>
      <c r="M55" s="32"/>
      <c r="N55" s="20" t="s">
        <v>158</v>
      </c>
      <c r="O55" s="20" t="s">
        <v>158</v>
      </c>
      <c r="P55" s="20" t="s">
        <v>158</v>
      </c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x14ac:dyDescent="0.25">
      <c r="A58" s="14" t="s">
        <v>149</v>
      </c>
      <c r="B58" s="44" t="s">
        <v>229</v>
      </c>
      <c r="C58" s="44" t="s">
        <v>230</v>
      </c>
      <c r="D58" s="44" t="s">
        <v>231</v>
      </c>
      <c r="E58" s="16" t="s">
        <v>15</v>
      </c>
      <c r="F58" s="16" t="s">
        <v>16</v>
      </c>
      <c r="G58" s="16" t="s">
        <v>26</v>
      </c>
      <c r="H58" s="16" t="s">
        <v>17</v>
      </c>
      <c r="I58" s="16" t="s">
        <v>27</v>
      </c>
      <c r="J58" s="16" t="s">
        <v>28</v>
      </c>
      <c r="K58" s="16" t="s">
        <v>29</v>
      </c>
      <c r="L58" s="16" t="s">
        <v>18</v>
      </c>
      <c r="M58" s="16" t="s">
        <v>20</v>
      </c>
      <c r="N58" s="21" t="s">
        <v>232</v>
      </c>
      <c r="O58" s="61" t="s">
        <v>30</v>
      </c>
      <c r="P58" s="61" t="s">
        <v>19</v>
      </c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x14ac:dyDescent="0.25">
      <c r="A59" s="17" t="s">
        <v>150</v>
      </c>
      <c r="B59" s="19">
        <v>166.8</v>
      </c>
      <c r="C59" s="19">
        <v>210.4</v>
      </c>
      <c r="D59" s="19">
        <v>355.6</v>
      </c>
      <c r="E59" s="19">
        <v>292</v>
      </c>
      <c r="F59" s="19">
        <v>138</v>
      </c>
      <c r="G59" s="19">
        <v>207.4</v>
      </c>
      <c r="H59" s="19">
        <v>257.10000000000002</v>
      </c>
      <c r="I59" s="19">
        <v>320.39999999999998</v>
      </c>
      <c r="J59" s="19">
        <v>208.3</v>
      </c>
      <c r="K59" s="19">
        <v>200.9</v>
      </c>
      <c r="L59" s="19">
        <v>324.8</v>
      </c>
      <c r="M59" s="18"/>
      <c r="N59" s="19">
        <v>236.2</v>
      </c>
      <c r="O59" s="20">
        <v>273.3</v>
      </c>
      <c r="P59" s="20">
        <v>226.6</v>
      </c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x14ac:dyDescent="0.25">
      <c r="A60" s="17" t="s">
        <v>114</v>
      </c>
      <c r="B60" s="19">
        <v>0</v>
      </c>
      <c r="C60" s="19">
        <v>0</v>
      </c>
      <c r="D60" s="19">
        <v>0</v>
      </c>
      <c r="E60" s="19">
        <v>1</v>
      </c>
      <c r="F60" s="19">
        <v>4</v>
      </c>
      <c r="G60" s="19">
        <v>0</v>
      </c>
      <c r="H60" s="19">
        <v>0</v>
      </c>
      <c r="I60" s="19">
        <v>4</v>
      </c>
      <c r="J60" s="19">
        <v>0</v>
      </c>
      <c r="K60" s="19">
        <v>6</v>
      </c>
      <c r="L60" s="19">
        <v>0</v>
      </c>
      <c r="M60" s="18"/>
      <c r="N60" s="19">
        <v>1</v>
      </c>
      <c r="O60" s="20">
        <v>0</v>
      </c>
      <c r="P60" s="20">
        <v>0</v>
      </c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x14ac:dyDescent="0.25">
      <c r="A61" s="20" t="s">
        <v>151</v>
      </c>
      <c r="B61" s="20">
        <v>86.8</v>
      </c>
      <c r="C61" s="20">
        <v>101.5</v>
      </c>
      <c r="D61" s="20">
        <v>150</v>
      </c>
      <c r="E61" s="20">
        <v>115</v>
      </c>
      <c r="F61" s="20">
        <v>119</v>
      </c>
      <c r="G61" s="20">
        <v>132</v>
      </c>
      <c r="H61" s="20">
        <v>147</v>
      </c>
      <c r="I61" s="20">
        <v>158</v>
      </c>
      <c r="J61" s="20">
        <v>141</v>
      </c>
      <c r="K61" s="20">
        <v>140</v>
      </c>
      <c r="L61" s="20">
        <v>161</v>
      </c>
      <c r="M61" s="32"/>
      <c r="N61" s="20">
        <v>106</v>
      </c>
      <c r="O61" s="20">
        <v>154</v>
      </c>
      <c r="P61" s="20">
        <v>109</v>
      </c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x14ac:dyDescent="0.25">
      <c r="A62" s="20" t="s">
        <v>152</v>
      </c>
      <c r="B62" s="20">
        <f t="shared" ref="B62:L62" si="4">2.5*B61</f>
        <v>217</v>
      </c>
      <c r="C62" s="20">
        <f t="shared" si="4"/>
        <v>253.75</v>
      </c>
      <c r="D62" s="20">
        <f t="shared" si="4"/>
        <v>375</v>
      </c>
      <c r="E62" s="20">
        <f t="shared" si="4"/>
        <v>287.5</v>
      </c>
      <c r="F62" s="20">
        <f t="shared" si="4"/>
        <v>297.5</v>
      </c>
      <c r="G62" s="20">
        <f t="shared" si="4"/>
        <v>330</v>
      </c>
      <c r="H62" s="20">
        <f t="shared" si="4"/>
        <v>367.5</v>
      </c>
      <c r="I62" s="20">
        <f t="shared" si="4"/>
        <v>395</v>
      </c>
      <c r="J62" s="20">
        <f t="shared" si="4"/>
        <v>352.5</v>
      </c>
      <c r="K62" s="20">
        <f t="shared" si="4"/>
        <v>350</v>
      </c>
      <c r="L62" s="20">
        <f t="shared" si="4"/>
        <v>402.5</v>
      </c>
      <c r="M62" s="32"/>
      <c r="N62" s="20">
        <f t="shared" ref="N62:P62" si="5">2.5*N61</f>
        <v>265</v>
      </c>
      <c r="O62" s="20">
        <f t="shared" si="5"/>
        <v>385</v>
      </c>
      <c r="P62" s="20">
        <f t="shared" si="5"/>
        <v>272.5</v>
      </c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x14ac:dyDescent="0.25">
      <c r="A63" s="20" t="s">
        <v>153</v>
      </c>
      <c r="B63" s="34">
        <f t="shared" ref="B63:D63" si="6">B59/B62</f>
        <v>0.76866359447004617</v>
      </c>
      <c r="C63" s="34">
        <f t="shared" si="6"/>
        <v>0.82916256157635471</v>
      </c>
      <c r="D63" s="34">
        <f t="shared" si="6"/>
        <v>0.9482666666666667</v>
      </c>
      <c r="E63" s="62"/>
      <c r="F63" s="34">
        <f t="shared" ref="F63:L63" si="7">F59/F62</f>
        <v>0.46386554621848741</v>
      </c>
      <c r="G63" s="34">
        <f t="shared" si="7"/>
        <v>0.62848484848484854</v>
      </c>
      <c r="H63" s="34">
        <f t="shared" si="7"/>
        <v>0.69959183673469394</v>
      </c>
      <c r="I63" s="34">
        <f t="shared" si="7"/>
        <v>0.81113924050632902</v>
      </c>
      <c r="J63" s="34">
        <f t="shared" si="7"/>
        <v>0.59092198581560285</v>
      </c>
      <c r="K63" s="34">
        <f t="shared" si="7"/>
        <v>0.57400000000000007</v>
      </c>
      <c r="L63" s="34">
        <f t="shared" si="7"/>
        <v>0.80695652173913046</v>
      </c>
      <c r="M63" s="32"/>
      <c r="N63" s="34">
        <f t="shared" ref="N63:P63" si="8">N59/N62</f>
        <v>0.89132075471698113</v>
      </c>
      <c r="O63" s="34">
        <f t="shared" si="8"/>
        <v>0.70987012987012987</v>
      </c>
      <c r="P63" s="34">
        <f t="shared" si="8"/>
        <v>0.83155963302752289</v>
      </c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x14ac:dyDescent="0.25">
      <c r="A66" s="14" t="s">
        <v>154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x14ac:dyDescent="0.25">
      <c r="A67" s="15" t="s">
        <v>155</v>
      </c>
      <c r="B67" s="44" t="s">
        <v>229</v>
      </c>
      <c r="C67" s="44" t="s">
        <v>230</v>
      </c>
      <c r="D67" s="44" t="s">
        <v>231</v>
      </c>
      <c r="E67" s="16" t="s">
        <v>15</v>
      </c>
      <c r="F67" s="35" t="s">
        <v>16</v>
      </c>
      <c r="G67" s="16" t="s">
        <v>26</v>
      </c>
      <c r="H67" s="16" t="s">
        <v>17</v>
      </c>
      <c r="I67" s="16" t="s">
        <v>27</v>
      </c>
      <c r="J67" s="63" t="s">
        <v>28</v>
      </c>
      <c r="K67" s="16" t="s">
        <v>29</v>
      </c>
      <c r="L67" s="16" t="s">
        <v>18</v>
      </c>
      <c r="M67" s="16" t="s">
        <v>20</v>
      </c>
      <c r="N67" s="21" t="s">
        <v>232</v>
      </c>
      <c r="O67" s="61" t="s">
        <v>30</v>
      </c>
      <c r="P67" s="61" t="s">
        <v>19</v>
      </c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x14ac:dyDescent="0.25">
      <c r="A68" s="17" t="s">
        <v>156</v>
      </c>
      <c r="B68" s="19" t="s">
        <v>157</v>
      </c>
      <c r="C68" s="19" t="s">
        <v>157</v>
      </c>
      <c r="D68" s="19" t="s">
        <v>158</v>
      </c>
      <c r="E68" s="19" t="s">
        <v>158</v>
      </c>
      <c r="F68" s="19" t="s">
        <v>157</v>
      </c>
      <c r="G68" s="19" t="s">
        <v>157</v>
      </c>
      <c r="H68" s="19" t="s">
        <v>157</v>
      </c>
      <c r="I68" s="19" t="s">
        <v>157</v>
      </c>
      <c r="J68" s="19" t="s">
        <v>157</v>
      </c>
      <c r="K68" s="19" t="s">
        <v>157</v>
      </c>
      <c r="L68" s="19" t="s">
        <v>158</v>
      </c>
      <c r="M68" s="18"/>
      <c r="N68" s="19" t="s">
        <v>158</v>
      </c>
      <c r="O68" s="20" t="s">
        <v>113</v>
      </c>
      <c r="P68" s="20" t="s">
        <v>157</v>
      </c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x14ac:dyDescent="0.25">
      <c r="A69" s="17" t="s">
        <v>159</v>
      </c>
      <c r="B69" s="37">
        <v>7.4305555555555555E-2</v>
      </c>
      <c r="C69" s="37">
        <v>0.125</v>
      </c>
      <c r="D69" s="37">
        <v>0.125</v>
      </c>
      <c r="E69" s="37">
        <v>8.3333333333333329E-2</v>
      </c>
      <c r="F69" s="37">
        <v>0.125</v>
      </c>
      <c r="G69" s="37">
        <v>8.3333333333333329E-2</v>
      </c>
      <c r="H69" s="37">
        <v>0.125</v>
      </c>
      <c r="I69" s="37">
        <v>6.458333333333334E-2</v>
      </c>
      <c r="J69" s="37">
        <v>0.125</v>
      </c>
      <c r="K69" s="37">
        <v>5.5555555555555552E-2</v>
      </c>
      <c r="L69" s="37">
        <v>0.125</v>
      </c>
      <c r="M69" s="18"/>
      <c r="N69" s="37">
        <v>0.125</v>
      </c>
      <c r="O69" s="60">
        <v>0.125</v>
      </c>
      <c r="P69" s="60">
        <v>0.125</v>
      </c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x14ac:dyDescent="0.25">
      <c r="A70" s="17" t="s">
        <v>128</v>
      </c>
      <c r="B70" s="19" t="s">
        <v>132</v>
      </c>
      <c r="C70" s="19" t="s">
        <v>160</v>
      </c>
      <c r="D70" s="19" t="s">
        <v>160</v>
      </c>
      <c r="E70" s="19" t="s">
        <v>132</v>
      </c>
      <c r="F70" s="19" t="s">
        <v>242</v>
      </c>
      <c r="G70" s="19" t="s">
        <v>132</v>
      </c>
      <c r="H70" s="19" t="s">
        <v>223</v>
      </c>
      <c r="I70" s="19" t="s">
        <v>132</v>
      </c>
      <c r="J70" s="19" t="s">
        <v>223</v>
      </c>
      <c r="K70" s="19" t="s">
        <v>243</v>
      </c>
      <c r="L70" s="19" t="s">
        <v>160</v>
      </c>
      <c r="M70" s="18"/>
      <c r="N70" s="19" t="s">
        <v>160</v>
      </c>
      <c r="O70" s="20" t="s">
        <v>160</v>
      </c>
      <c r="P70" s="20" t="s">
        <v>160</v>
      </c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x14ac:dyDescent="0.25">
      <c r="A72" s="15" t="s">
        <v>162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x14ac:dyDescent="0.25">
      <c r="A73" s="17" t="s">
        <v>156</v>
      </c>
      <c r="B73" s="19" t="s">
        <v>157</v>
      </c>
      <c r="C73" s="19" t="s">
        <v>157</v>
      </c>
      <c r="D73" s="19" t="s">
        <v>157</v>
      </c>
      <c r="E73" s="19" t="s">
        <v>157</v>
      </c>
      <c r="F73" s="19" t="s">
        <v>157</v>
      </c>
      <c r="G73" s="19" t="s">
        <v>157</v>
      </c>
      <c r="H73" s="19" t="s">
        <v>157</v>
      </c>
      <c r="I73" s="19" t="s">
        <v>157</v>
      </c>
      <c r="J73" s="19" t="s">
        <v>157</v>
      </c>
      <c r="K73" s="19" t="s">
        <v>157</v>
      </c>
      <c r="L73" s="19" t="s">
        <v>157</v>
      </c>
      <c r="M73" s="18"/>
      <c r="N73" s="19" t="s">
        <v>157</v>
      </c>
      <c r="O73" s="20" t="s">
        <v>157</v>
      </c>
      <c r="P73" s="20" t="s">
        <v>157</v>
      </c>
      <c r="S73" s="13"/>
      <c r="T73" s="13"/>
      <c r="U73" s="13"/>
      <c r="V73" s="13"/>
      <c r="W73" s="13"/>
      <c r="X73" s="13"/>
      <c r="Y73" s="13"/>
      <c r="Z73" s="13"/>
    </row>
    <row r="74" spans="1:26" x14ac:dyDescent="0.25">
      <c r="A74" s="17" t="s">
        <v>159</v>
      </c>
      <c r="B74" s="37">
        <v>4.4444444444444446E-2</v>
      </c>
      <c r="C74" s="37">
        <v>8.3333333333333329E-2</v>
      </c>
      <c r="D74" s="37">
        <v>8.3333333333333329E-2</v>
      </c>
      <c r="E74" s="37">
        <v>4.1666666666666664E-2</v>
      </c>
      <c r="F74" s="37">
        <v>4.1666666666666664E-2</v>
      </c>
      <c r="G74" s="37">
        <v>5.5555555555555552E-2</v>
      </c>
      <c r="H74" s="37">
        <v>5.4166666666666669E-2</v>
      </c>
      <c r="I74" s="37">
        <v>3.4722222222222224E-2</v>
      </c>
      <c r="J74" s="37">
        <v>8.3333333333333329E-2</v>
      </c>
      <c r="K74" s="37">
        <v>3.3333333333333333E-2</v>
      </c>
      <c r="L74" s="37">
        <v>8.3333333333333329E-2</v>
      </c>
      <c r="M74" s="18"/>
      <c r="N74" s="37">
        <v>8.3333333333333329E-2</v>
      </c>
      <c r="O74" s="60">
        <v>6.25E-2</v>
      </c>
      <c r="P74" s="60">
        <v>6.5972222222222224E-2</v>
      </c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x14ac:dyDescent="0.25">
      <c r="A75" s="17" t="s">
        <v>128</v>
      </c>
      <c r="B75" s="19" t="s">
        <v>132</v>
      </c>
      <c r="C75" s="19" t="s">
        <v>160</v>
      </c>
      <c r="D75" s="19" t="s">
        <v>160</v>
      </c>
      <c r="E75" s="19" t="s">
        <v>132</v>
      </c>
      <c r="F75" s="19" t="s">
        <v>244</v>
      </c>
      <c r="G75" s="19" t="s">
        <v>219</v>
      </c>
      <c r="H75" s="19" t="s">
        <v>219</v>
      </c>
      <c r="I75" s="19" t="s">
        <v>132</v>
      </c>
      <c r="J75" s="19" t="s">
        <v>223</v>
      </c>
      <c r="K75" s="19" t="s">
        <v>243</v>
      </c>
      <c r="L75" s="19" t="s">
        <v>160</v>
      </c>
      <c r="M75" s="18"/>
      <c r="N75" s="19" t="s">
        <v>160</v>
      </c>
      <c r="O75" s="20" t="s">
        <v>132</v>
      </c>
      <c r="P75" s="20" t="s">
        <v>132</v>
      </c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x14ac:dyDescent="0.25">
      <c r="A77" s="15" t="s">
        <v>165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x14ac:dyDescent="0.25">
      <c r="A78" s="17" t="s">
        <v>156</v>
      </c>
      <c r="B78" s="19" t="s">
        <v>157</v>
      </c>
      <c r="C78" s="19" t="s">
        <v>157</v>
      </c>
      <c r="D78" s="19" t="s">
        <v>158</v>
      </c>
      <c r="E78" s="19" t="s">
        <v>157</v>
      </c>
      <c r="F78" s="19" t="s">
        <v>157</v>
      </c>
      <c r="G78" s="19" t="s">
        <v>157</v>
      </c>
      <c r="H78" s="19" t="s">
        <v>157</v>
      </c>
      <c r="I78" s="19" t="s">
        <v>157</v>
      </c>
      <c r="J78" s="19" t="s">
        <v>157</v>
      </c>
      <c r="K78" s="19" t="s">
        <v>157</v>
      </c>
      <c r="L78" s="19" t="s">
        <v>157</v>
      </c>
      <c r="M78" s="18"/>
      <c r="N78" s="19" t="s">
        <v>158</v>
      </c>
      <c r="O78" s="20" t="s">
        <v>157</v>
      </c>
      <c r="P78" s="20" t="s">
        <v>157</v>
      </c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x14ac:dyDescent="0.25">
      <c r="A79" s="17" t="s">
        <v>159</v>
      </c>
      <c r="B79" s="37">
        <v>4.3055555555555555E-2</v>
      </c>
      <c r="C79" s="37">
        <v>8.3333333333333329E-2</v>
      </c>
      <c r="D79" s="37">
        <v>8.3333333333333329E-2</v>
      </c>
      <c r="E79" s="37">
        <v>4.3055555555555555E-2</v>
      </c>
      <c r="F79" s="37">
        <v>4.6527777777777779E-2</v>
      </c>
      <c r="G79" s="37">
        <v>5.486111111111111E-2</v>
      </c>
      <c r="H79" s="37">
        <v>8.3333333333333329E-2</v>
      </c>
      <c r="I79" s="37">
        <v>3.9583333333333331E-2</v>
      </c>
      <c r="J79" s="37">
        <v>8.3333333333333329E-2</v>
      </c>
      <c r="K79" s="37">
        <v>2.6388888888888889E-2</v>
      </c>
      <c r="L79" s="37">
        <v>8.3333333333333329E-2</v>
      </c>
      <c r="M79" s="18"/>
      <c r="N79" s="37">
        <v>8.3333333333333329E-2</v>
      </c>
      <c r="O79" s="60">
        <v>6.25E-2</v>
      </c>
      <c r="P79" s="60">
        <v>5.347222222222222E-2</v>
      </c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x14ac:dyDescent="0.25">
      <c r="A80" s="17" t="s">
        <v>128</v>
      </c>
      <c r="B80" s="19"/>
      <c r="C80" s="19" t="s">
        <v>160</v>
      </c>
      <c r="D80" s="19" t="s">
        <v>160</v>
      </c>
      <c r="E80" s="19" t="s">
        <v>132</v>
      </c>
      <c r="F80" s="19" t="s">
        <v>245</v>
      </c>
      <c r="G80" s="19" t="s">
        <v>219</v>
      </c>
      <c r="H80" s="19" t="s">
        <v>223</v>
      </c>
      <c r="I80" s="19" t="s">
        <v>132</v>
      </c>
      <c r="J80" s="19" t="s">
        <v>223</v>
      </c>
      <c r="K80" s="19" t="s">
        <v>243</v>
      </c>
      <c r="L80" s="19" t="s">
        <v>160</v>
      </c>
      <c r="M80" s="18"/>
      <c r="N80" s="19" t="s">
        <v>160</v>
      </c>
      <c r="O80" s="20" t="s">
        <v>132</v>
      </c>
      <c r="P80" s="20" t="s">
        <v>132</v>
      </c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x14ac:dyDescent="0.25">
      <c r="A82" s="15" t="s">
        <v>166</v>
      </c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x14ac:dyDescent="0.25">
      <c r="A83" s="17" t="s">
        <v>156</v>
      </c>
      <c r="B83" s="19" t="s">
        <v>158</v>
      </c>
      <c r="C83" s="19" t="s">
        <v>158</v>
      </c>
      <c r="D83" s="19" t="s">
        <v>158</v>
      </c>
      <c r="E83" s="19" t="s">
        <v>158</v>
      </c>
      <c r="F83" s="19" t="s">
        <v>158</v>
      </c>
      <c r="G83" s="19" t="s">
        <v>158</v>
      </c>
      <c r="H83" s="19" t="s">
        <v>157</v>
      </c>
      <c r="I83" s="19" t="s">
        <v>158</v>
      </c>
      <c r="J83" s="19" t="s">
        <v>157</v>
      </c>
      <c r="K83" s="19" t="s">
        <v>158</v>
      </c>
      <c r="L83" s="19" t="s">
        <v>158</v>
      </c>
      <c r="M83" s="18"/>
      <c r="N83" s="19" t="s">
        <v>158</v>
      </c>
      <c r="O83" s="20" t="s">
        <v>157</v>
      </c>
      <c r="P83" s="20" t="s">
        <v>158</v>
      </c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x14ac:dyDescent="0.25">
      <c r="A84" s="17" t="s">
        <v>159</v>
      </c>
      <c r="B84" s="37">
        <v>0.125</v>
      </c>
      <c r="C84" s="37">
        <v>7.4305555555555555E-2</v>
      </c>
      <c r="D84" s="37">
        <v>0.125</v>
      </c>
      <c r="E84" s="37">
        <v>4.2361111111111113E-2</v>
      </c>
      <c r="F84" s="37">
        <v>0.125</v>
      </c>
      <c r="G84" s="37">
        <v>0.125</v>
      </c>
      <c r="H84" s="37">
        <v>8.6805555555555552E-2</v>
      </c>
      <c r="I84" s="37">
        <v>7.4305555555555555E-2</v>
      </c>
      <c r="J84" s="37">
        <v>0.1</v>
      </c>
      <c r="K84" s="37">
        <v>4.5138888888888888E-2</v>
      </c>
      <c r="L84" s="37">
        <v>0.125</v>
      </c>
      <c r="M84" s="18"/>
      <c r="N84" s="37">
        <v>0.125</v>
      </c>
      <c r="O84" s="60">
        <v>0.125</v>
      </c>
      <c r="P84" s="60">
        <v>0.125</v>
      </c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x14ac:dyDescent="0.25">
      <c r="A85" s="17" t="s">
        <v>128</v>
      </c>
      <c r="B85" s="19" t="s">
        <v>160</v>
      </c>
      <c r="C85" s="19" t="s">
        <v>246</v>
      </c>
      <c r="D85" s="19" t="s">
        <v>160</v>
      </c>
      <c r="E85" s="19" t="s">
        <v>167</v>
      </c>
      <c r="F85" s="19" t="s">
        <v>247</v>
      </c>
      <c r="G85" s="19" t="s">
        <v>160</v>
      </c>
      <c r="H85" s="19" t="s">
        <v>226</v>
      </c>
      <c r="I85" s="19" t="s">
        <v>167</v>
      </c>
      <c r="J85" s="19" t="s">
        <v>201</v>
      </c>
      <c r="K85" s="19" t="s">
        <v>243</v>
      </c>
      <c r="L85" s="19" t="s">
        <v>160</v>
      </c>
      <c r="M85" s="18"/>
      <c r="N85" s="19" t="s">
        <v>160</v>
      </c>
      <c r="O85" s="20" t="s">
        <v>132</v>
      </c>
      <c r="P85" s="20" t="s">
        <v>160</v>
      </c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x14ac:dyDescent="0.25">
      <c r="A87" s="15" t="s">
        <v>169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x14ac:dyDescent="0.25">
      <c r="A88" s="17" t="s">
        <v>170</v>
      </c>
      <c r="B88" s="40">
        <f t="shared" ref="B88:P88" si="9">B69/B84</f>
        <v>0.59444444444444444</v>
      </c>
      <c r="C88" s="40">
        <f t="shared" si="9"/>
        <v>1.6822429906542056</v>
      </c>
      <c r="D88" s="40">
        <f t="shared" si="9"/>
        <v>1</v>
      </c>
      <c r="E88" s="40">
        <f t="shared" si="9"/>
        <v>1.9672131147540981</v>
      </c>
      <c r="F88" s="40">
        <f t="shared" si="9"/>
        <v>1</v>
      </c>
      <c r="G88" s="40">
        <f t="shared" si="9"/>
        <v>0.66666666666666663</v>
      </c>
      <c r="H88" s="40">
        <f t="shared" si="9"/>
        <v>1.44</v>
      </c>
      <c r="I88" s="40">
        <f t="shared" si="9"/>
        <v>0.86915887850467299</v>
      </c>
      <c r="J88" s="40">
        <f t="shared" si="9"/>
        <v>1.25</v>
      </c>
      <c r="K88" s="40">
        <f t="shared" si="9"/>
        <v>1.2307692307692306</v>
      </c>
      <c r="L88" s="40">
        <f t="shared" si="9"/>
        <v>1</v>
      </c>
      <c r="M88" s="40" t="e">
        <f t="shared" si="9"/>
        <v>#DIV/0!</v>
      </c>
      <c r="N88" s="40">
        <f t="shared" si="9"/>
        <v>1</v>
      </c>
      <c r="O88" s="64">
        <f t="shared" si="9"/>
        <v>1</v>
      </c>
      <c r="P88" s="64">
        <f t="shared" si="9"/>
        <v>1</v>
      </c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x14ac:dyDescent="0.25">
      <c r="A89" s="17" t="s">
        <v>171</v>
      </c>
      <c r="B89" s="40">
        <f t="shared" ref="B89:P89" si="10">IF(B74&gt;B79,B79/B74,B74/B79)</f>
        <v>0.96875</v>
      </c>
      <c r="C89" s="40">
        <f t="shared" si="10"/>
        <v>1</v>
      </c>
      <c r="D89" s="40">
        <f t="shared" si="10"/>
        <v>1</v>
      </c>
      <c r="E89" s="40">
        <f t="shared" si="10"/>
        <v>0.96774193548387089</v>
      </c>
      <c r="F89" s="40">
        <f t="shared" si="10"/>
        <v>0.89552238805970141</v>
      </c>
      <c r="G89" s="40">
        <f t="shared" si="10"/>
        <v>0.98750000000000004</v>
      </c>
      <c r="H89" s="40">
        <f t="shared" si="10"/>
        <v>0.65</v>
      </c>
      <c r="I89" s="40">
        <f t="shared" si="10"/>
        <v>0.87719298245614041</v>
      </c>
      <c r="J89" s="40">
        <f t="shared" si="10"/>
        <v>1</v>
      </c>
      <c r="K89" s="40">
        <f t="shared" si="10"/>
        <v>0.79166666666666663</v>
      </c>
      <c r="L89" s="40">
        <f t="shared" si="10"/>
        <v>1</v>
      </c>
      <c r="M89" s="40" t="e">
        <f t="shared" si="10"/>
        <v>#DIV/0!</v>
      </c>
      <c r="N89" s="40">
        <f t="shared" si="10"/>
        <v>1</v>
      </c>
      <c r="O89" s="40">
        <f t="shared" si="10"/>
        <v>1</v>
      </c>
      <c r="P89" s="40">
        <f t="shared" si="10"/>
        <v>0.81052631578947365</v>
      </c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x14ac:dyDescent="0.25">
      <c r="A90" s="17" t="s">
        <v>172</v>
      </c>
      <c r="B90" s="40">
        <f t="shared" ref="B90:P90" si="11">B74/B84</f>
        <v>0.35555555555555557</v>
      </c>
      <c r="C90" s="40">
        <f t="shared" si="11"/>
        <v>1.1214953271028036</v>
      </c>
      <c r="D90" s="40">
        <f t="shared" si="11"/>
        <v>0.66666666666666663</v>
      </c>
      <c r="E90" s="40">
        <f t="shared" si="11"/>
        <v>0.98360655737704905</v>
      </c>
      <c r="F90" s="40">
        <f t="shared" si="11"/>
        <v>0.33333333333333331</v>
      </c>
      <c r="G90" s="40">
        <f t="shared" si="11"/>
        <v>0.44444444444444442</v>
      </c>
      <c r="H90" s="40">
        <f t="shared" si="11"/>
        <v>0.624</v>
      </c>
      <c r="I90" s="40">
        <f t="shared" si="11"/>
        <v>0.46728971962616822</v>
      </c>
      <c r="J90" s="40">
        <f t="shared" si="11"/>
        <v>0.83333333333333326</v>
      </c>
      <c r="K90" s="40">
        <f t="shared" si="11"/>
        <v>0.7384615384615385</v>
      </c>
      <c r="L90" s="40">
        <f t="shared" si="11"/>
        <v>0.66666666666666663</v>
      </c>
      <c r="M90" s="40" t="e">
        <f t="shared" si="11"/>
        <v>#DIV/0!</v>
      </c>
      <c r="N90" s="40">
        <f t="shared" si="11"/>
        <v>0.66666666666666663</v>
      </c>
      <c r="O90" s="40">
        <f t="shared" si="11"/>
        <v>0.5</v>
      </c>
      <c r="P90" s="40">
        <f t="shared" si="11"/>
        <v>0.52777777777777779</v>
      </c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x14ac:dyDescent="0.25">
      <c r="A91" s="17" t="s">
        <v>173</v>
      </c>
      <c r="B91" s="40">
        <f t="shared" ref="B91:P91" si="12">B79/B84</f>
        <v>0.34444444444444444</v>
      </c>
      <c r="C91" s="40">
        <f t="shared" si="12"/>
        <v>1.1214953271028036</v>
      </c>
      <c r="D91" s="40">
        <f t="shared" si="12"/>
        <v>0.66666666666666663</v>
      </c>
      <c r="E91" s="40">
        <f t="shared" si="12"/>
        <v>1.0163934426229508</v>
      </c>
      <c r="F91" s="40">
        <f t="shared" si="12"/>
        <v>0.37222222222222223</v>
      </c>
      <c r="G91" s="40">
        <f t="shared" si="12"/>
        <v>0.43888888888888888</v>
      </c>
      <c r="H91" s="40">
        <f t="shared" si="12"/>
        <v>0.96</v>
      </c>
      <c r="I91" s="40">
        <f t="shared" si="12"/>
        <v>0.53271028037383172</v>
      </c>
      <c r="J91" s="40">
        <f t="shared" si="12"/>
        <v>0.83333333333333326</v>
      </c>
      <c r="K91" s="40">
        <f t="shared" si="12"/>
        <v>0.58461538461538465</v>
      </c>
      <c r="L91" s="40">
        <f t="shared" si="12"/>
        <v>0.66666666666666663</v>
      </c>
      <c r="M91" s="40" t="e">
        <f t="shared" si="12"/>
        <v>#DIV/0!</v>
      </c>
      <c r="N91" s="40">
        <f t="shared" si="12"/>
        <v>0.66666666666666663</v>
      </c>
      <c r="O91" s="40">
        <f t="shared" si="12"/>
        <v>0.5</v>
      </c>
      <c r="P91" s="40">
        <f t="shared" si="12"/>
        <v>0.42777777777777776</v>
      </c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x14ac:dyDescent="0.25">
      <c r="A94" s="15" t="s">
        <v>248</v>
      </c>
      <c r="B94" s="44" t="s">
        <v>229</v>
      </c>
      <c r="C94" s="44" t="s">
        <v>230</v>
      </c>
      <c r="D94" s="44" t="s">
        <v>231</v>
      </c>
      <c r="E94" s="16" t="s">
        <v>15</v>
      </c>
      <c r="F94" s="35" t="s">
        <v>16</v>
      </c>
      <c r="G94" s="16" t="s">
        <v>26</v>
      </c>
      <c r="H94" s="16" t="s">
        <v>17</v>
      </c>
      <c r="I94" s="16" t="s">
        <v>27</v>
      </c>
      <c r="J94" s="63" t="s">
        <v>28</v>
      </c>
      <c r="K94" s="16" t="s">
        <v>29</v>
      </c>
      <c r="L94" s="16" t="s">
        <v>18</v>
      </c>
      <c r="M94" s="16" t="s">
        <v>20</v>
      </c>
      <c r="N94" s="21" t="s">
        <v>232</v>
      </c>
      <c r="O94" s="61" t="s">
        <v>30</v>
      </c>
      <c r="P94" s="61" t="s">
        <v>19</v>
      </c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x14ac:dyDescent="0.25">
      <c r="A95" s="14" t="s">
        <v>175</v>
      </c>
      <c r="B95" s="20"/>
      <c r="C95" s="20">
        <v>4</v>
      </c>
      <c r="D95" s="20">
        <v>9</v>
      </c>
      <c r="E95" s="20">
        <v>3</v>
      </c>
      <c r="F95" s="20">
        <v>8.25</v>
      </c>
      <c r="G95" s="20">
        <v>9</v>
      </c>
      <c r="H95" s="20">
        <v>9.5</v>
      </c>
      <c r="I95" s="20">
        <v>3</v>
      </c>
      <c r="J95" s="20">
        <v>11.75</v>
      </c>
      <c r="K95" s="20">
        <v>8</v>
      </c>
      <c r="L95" s="20">
        <v>8.25</v>
      </c>
      <c r="M95" s="32"/>
      <c r="N95" s="20">
        <v>3</v>
      </c>
      <c r="O95" s="20">
        <v>4.25</v>
      </c>
      <c r="P95" s="20">
        <v>6</v>
      </c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x14ac:dyDescent="0.25"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x14ac:dyDescent="0.25">
      <c r="A97" s="14" t="s">
        <v>177</v>
      </c>
      <c r="B97" s="20"/>
      <c r="C97" s="20">
        <v>11</v>
      </c>
      <c r="D97" s="20">
        <v>5</v>
      </c>
      <c r="E97" s="20">
        <v>5</v>
      </c>
      <c r="F97" s="20">
        <v>13</v>
      </c>
      <c r="G97" s="20">
        <v>7</v>
      </c>
      <c r="H97" s="20">
        <v>2</v>
      </c>
      <c r="I97" s="20">
        <v>6</v>
      </c>
      <c r="J97" s="20">
        <v>1</v>
      </c>
      <c r="K97" s="20">
        <v>6</v>
      </c>
      <c r="L97" s="20">
        <v>20</v>
      </c>
      <c r="M97" s="32"/>
      <c r="N97" s="20">
        <v>11</v>
      </c>
      <c r="O97" s="20">
        <v>16</v>
      </c>
      <c r="P97" s="20">
        <v>8</v>
      </c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x14ac:dyDescent="0.25"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x14ac:dyDescent="0.25">
      <c r="A99" s="14" t="s">
        <v>178</v>
      </c>
      <c r="B99" s="20"/>
      <c r="C99" s="20">
        <v>2.41</v>
      </c>
      <c r="D99" s="26" t="s">
        <v>179</v>
      </c>
      <c r="E99" s="26" t="s">
        <v>179</v>
      </c>
      <c r="F99" s="26" t="s">
        <v>179</v>
      </c>
      <c r="G99" s="26" t="s">
        <v>179</v>
      </c>
      <c r="H99" s="26">
        <v>2.76</v>
      </c>
      <c r="I99" s="20">
        <v>2.38</v>
      </c>
      <c r="J99" s="26" t="s">
        <v>179</v>
      </c>
      <c r="K99" s="26" t="s">
        <v>179</v>
      </c>
      <c r="L99" s="26" t="s">
        <v>179</v>
      </c>
      <c r="M99" s="32"/>
      <c r="N99" s="20">
        <v>2.34</v>
      </c>
      <c r="O99" s="20">
        <v>2.38</v>
      </c>
      <c r="P99" s="26" t="s">
        <v>179</v>
      </c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x14ac:dyDescent="0.25"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x14ac:dyDescent="0.25">
      <c r="A101" s="14" t="s">
        <v>180</v>
      </c>
      <c r="B101" s="20"/>
      <c r="C101" s="20"/>
      <c r="D101" s="20">
        <v>22.54</v>
      </c>
      <c r="E101" s="20">
        <v>21.24</v>
      </c>
      <c r="F101" s="20">
        <v>20.81</v>
      </c>
      <c r="G101" s="20">
        <v>20.5</v>
      </c>
      <c r="H101" s="20"/>
      <c r="I101" s="20"/>
      <c r="J101" s="20"/>
      <c r="K101" s="20"/>
      <c r="L101" s="20">
        <v>21.16</v>
      </c>
      <c r="M101" s="32"/>
      <c r="N101" s="20">
        <v>20.74</v>
      </c>
      <c r="O101" s="20">
        <v>21.44</v>
      </c>
      <c r="P101" s="20">
        <v>20.54</v>
      </c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x14ac:dyDescent="0.25">
      <c r="A103" s="14" t="s">
        <v>249</v>
      </c>
      <c r="B103" s="20">
        <v>14.69</v>
      </c>
      <c r="C103" s="20">
        <v>12.47</v>
      </c>
      <c r="D103" s="20">
        <v>14.41</v>
      </c>
      <c r="E103" s="20">
        <v>20</v>
      </c>
      <c r="F103" s="20">
        <v>11.41</v>
      </c>
      <c r="G103" s="20">
        <v>12.09</v>
      </c>
      <c r="H103" s="20">
        <v>21.22</v>
      </c>
      <c r="I103" s="20">
        <v>8.85</v>
      </c>
      <c r="J103" s="20">
        <v>12.73</v>
      </c>
      <c r="K103" s="20">
        <v>12.09</v>
      </c>
      <c r="L103" s="20">
        <v>10.66</v>
      </c>
      <c r="M103" s="32"/>
      <c r="N103" s="20">
        <v>10.25</v>
      </c>
      <c r="O103" s="20">
        <v>10.71</v>
      </c>
      <c r="P103" s="20">
        <v>11.21</v>
      </c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x14ac:dyDescent="0.25">
      <c r="A105" s="14" t="s">
        <v>206</v>
      </c>
      <c r="B105" s="20">
        <v>17.25</v>
      </c>
      <c r="C105" s="20">
        <v>22.5</v>
      </c>
      <c r="D105" s="20">
        <v>21</v>
      </c>
      <c r="E105" s="20">
        <v>23.5</v>
      </c>
      <c r="F105" s="20">
        <v>22</v>
      </c>
      <c r="G105" s="20">
        <v>22.25</v>
      </c>
      <c r="H105" s="20">
        <v>19.5</v>
      </c>
      <c r="I105" s="20">
        <v>28.5</v>
      </c>
      <c r="J105" s="20"/>
      <c r="K105" s="20">
        <v>24.5</v>
      </c>
      <c r="L105" s="20">
        <v>27.25</v>
      </c>
      <c r="M105" s="32"/>
      <c r="N105" s="20">
        <v>23</v>
      </c>
      <c r="O105" s="20">
        <v>25.25</v>
      </c>
      <c r="P105" s="20">
        <v>22</v>
      </c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x14ac:dyDescent="0.25">
      <c r="A109" s="13" t="s">
        <v>182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x14ac:dyDescent="0.25">
      <c r="A110" s="13" t="s">
        <v>183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x14ac:dyDescent="0.25">
      <c r="A111" s="42" t="s">
        <v>184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spans="1:26" x14ac:dyDescent="0.2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spans="1:26" x14ac:dyDescent="0.25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spans="1:26" x14ac:dyDescent="0.25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spans="1:26" x14ac:dyDescent="0.25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spans="1:26" x14ac:dyDescent="0.2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spans="1:26" x14ac:dyDescent="0.25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spans="1:26" x14ac:dyDescent="0.25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spans="1:26" x14ac:dyDescent="0.25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spans="1:26" x14ac:dyDescent="0.25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spans="1:26" x14ac:dyDescent="0.25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spans="1:26" x14ac:dyDescent="0.25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spans="1:26" x14ac:dyDescent="0.25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spans="1:26" x14ac:dyDescent="0.25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spans="1:26" x14ac:dyDescent="0.25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spans="1:26" x14ac:dyDescent="0.2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spans="1:26" x14ac:dyDescent="0.25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</sheetData>
  <conditionalFormatting sqref="A109">
    <cfRule type="notContainsBlanks" dxfId="138" priority="3">
      <formula>LEN(TRIM(A109))&gt;0</formula>
    </cfRule>
  </conditionalFormatting>
  <conditionalFormatting sqref="A110">
    <cfRule type="notContainsBlanks" dxfId="137" priority="2">
      <formula>LEN(TRIM(A110))&gt;0</formula>
    </cfRule>
  </conditionalFormatting>
  <conditionalFormatting sqref="A111">
    <cfRule type="notContainsBlanks" dxfId="136" priority="1">
      <formula>LEN(TRIM(A111))&gt;0</formula>
    </cfRule>
  </conditionalFormatting>
  <conditionalFormatting sqref="B59">
    <cfRule type="cellIs" dxfId="135" priority="33" operator="greaterThanOrEqual">
      <formula>217</formula>
    </cfRule>
    <cfRule type="cellIs" dxfId="134" priority="34" operator="lessThan">
      <formula>217</formula>
    </cfRule>
  </conditionalFormatting>
  <conditionalFormatting sqref="B105:E105">
    <cfRule type="notContainsBlanks" dxfId="133" priority="45">
      <formula>LEN(TRIM(B105))&gt;0</formula>
    </cfRule>
  </conditionalFormatting>
  <conditionalFormatting sqref="B7:N7 B11:N11 B16:N16 B20:N20 B34:N34 B39:N39 B60:N60">
    <cfRule type="cellIs" dxfId="132" priority="4" operator="greaterThan">
      <formula>0</formula>
    </cfRule>
  </conditionalFormatting>
  <conditionalFormatting sqref="B43:P43">
    <cfRule type="cellIs" dxfId="131" priority="11" operator="lessThan">
      <formula>"90%"</formula>
    </cfRule>
    <cfRule type="cellIs" dxfId="130" priority="12" operator="greaterThanOrEqual">
      <formula>"90%"</formula>
    </cfRule>
  </conditionalFormatting>
  <conditionalFormatting sqref="B69:P69">
    <cfRule type="cellIs" dxfId="129" priority="13" operator="greaterThanOrEqual">
      <formula>"3:00"</formula>
    </cfRule>
  </conditionalFormatting>
  <conditionalFormatting sqref="B74:P74">
    <cfRule type="cellIs" dxfId="128" priority="14" operator="greaterThanOrEqual">
      <formula>"2:00"</formula>
    </cfRule>
  </conditionalFormatting>
  <conditionalFormatting sqref="B79:P79">
    <cfRule type="cellIs" dxfId="127" priority="15" operator="greaterThanOrEqual">
      <formula>"2:00"</formula>
    </cfRule>
  </conditionalFormatting>
  <conditionalFormatting sqref="B84:P84">
    <cfRule type="cellIs" dxfId="126" priority="16" operator="greaterThanOrEqual">
      <formula>"3:00"</formula>
    </cfRule>
  </conditionalFormatting>
  <conditionalFormatting sqref="B88:P88">
    <cfRule type="cellIs" dxfId="125" priority="9" operator="lessThan">
      <formula>0.8</formula>
    </cfRule>
    <cfRule type="cellIs" dxfId="124" priority="10" operator="greaterThanOrEqual">
      <formula>0.8</formula>
    </cfRule>
  </conditionalFormatting>
  <conditionalFormatting sqref="B89:P89">
    <cfRule type="cellIs" dxfId="123" priority="7" operator="greaterThanOrEqual">
      <formula>0.75</formula>
    </cfRule>
    <cfRule type="cellIs" dxfId="122" priority="8" operator="lessThan">
      <formula>0.75</formula>
    </cfRule>
  </conditionalFormatting>
  <conditionalFormatting sqref="B90:P91">
    <cfRule type="cellIs" dxfId="121" priority="5" operator="greaterThanOrEqual">
      <formula>0.5</formula>
    </cfRule>
    <cfRule type="cellIs" dxfId="120" priority="6" operator="lessThan">
      <formula>0.5</formula>
    </cfRule>
  </conditionalFormatting>
  <conditionalFormatting sqref="C59">
    <cfRule type="cellIs" dxfId="119" priority="17" operator="greaterThanOrEqual">
      <formula>253.75</formula>
    </cfRule>
    <cfRule type="cellIs" dxfId="118" priority="18" operator="lessThan">
      <formula>253.75</formula>
    </cfRule>
  </conditionalFormatting>
  <conditionalFormatting sqref="D59">
    <cfRule type="cellIs" dxfId="117" priority="31" operator="greaterThanOrEqual">
      <formula>375</formula>
    </cfRule>
    <cfRule type="cellIs" dxfId="116" priority="32" operator="lessThan">
      <formula>375</formula>
    </cfRule>
  </conditionalFormatting>
  <conditionalFormatting sqref="E59">
    <cfRule type="cellIs" dxfId="115" priority="35" operator="greaterThanOrEqual">
      <formula>287.5</formula>
    </cfRule>
    <cfRule type="cellIs" dxfId="114" priority="36" operator="lessThan">
      <formula>287.5</formula>
    </cfRule>
  </conditionalFormatting>
  <conditionalFormatting sqref="F59">
    <cfRule type="cellIs" dxfId="113" priority="21" operator="greaterThanOrEqual">
      <formula>297.5</formula>
    </cfRule>
    <cfRule type="cellIs" dxfId="112" priority="22" operator="lessThan">
      <formula>297.5</formula>
    </cfRule>
  </conditionalFormatting>
  <conditionalFormatting sqref="F105:G105">
    <cfRule type="notContainsBlanks" dxfId="111" priority="49">
      <formula>LEN(TRIM(F105))&gt;0</formula>
    </cfRule>
  </conditionalFormatting>
  <conditionalFormatting sqref="G59">
    <cfRule type="cellIs" dxfId="110" priority="19" operator="greaterThanOrEqual">
      <formula>330</formula>
    </cfRule>
    <cfRule type="cellIs" dxfId="109" priority="20" operator="lessThan">
      <formula>330</formula>
    </cfRule>
  </conditionalFormatting>
  <conditionalFormatting sqref="H59">
    <cfRule type="cellIs" dxfId="108" priority="23" operator="greaterThanOrEqual">
      <formula>367.5</formula>
    </cfRule>
    <cfRule type="cellIs" dxfId="107" priority="24" operator="lessThan">
      <formula>367.5</formula>
    </cfRule>
  </conditionalFormatting>
  <conditionalFormatting sqref="H105">
    <cfRule type="notContainsBlanks" dxfId="106" priority="51">
      <formula>LEN(TRIM(H105))&gt;0</formula>
    </cfRule>
  </conditionalFormatting>
  <conditionalFormatting sqref="I59">
    <cfRule type="cellIs" dxfId="105" priority="25" operator="greaterThanOrEqual">
      <formula>395</formula>
    </cfRule>
    <cfRule type="cellIs" dxfId="104" priority="26" operator="lessThan">
      <formula>395</formula>
    </cfRule>
  </conditionalFormatting>
  <conditionalFormatting sqref="I105">
    <cfRule type="notContainsBlanks" dxfId="103" priority="52">
      <formula>LEN(TRIM(I105))&gt;0</formula>
    </cfRule>
  </conditionalFormatting>
  <conditionalFormatting sqref="J59">
    <cfRule type="cellIs" dxfId="102" priority="27" operator="greaterThanOrEqual">
      <formula>352.5</formula>
    </cfRule>
    <cfRule type="cellIs" dxfId="101" priority="28" operator="lessThanOrEqual">
      <formula>352.5</formula>
    </cfRule>
  </conditionalFormatting>
  <conditionalFormatting sqref="K59">
    <cfRule type="cellIs" dxfId="100" priority="43" operator="greaterThanOrEqual">
      <formula>350</formula>
    </cfRule>
    <cfRule type="cellIs" dxfId="99" priority="44" operator="lessThan">
      <formula>350</formula>
    </cfRule>
  </conditionalFormatting>
  <conditionalFormatting sqref="K105">
    <cfRule type="notContainsBlanks" dxfId="98" priority="53">
      <formula>LEN(TRIM(K105))&gt;0</formula>
    </cfRule>
  </conditionalFormatting>
  <conditionalFormatting sqref="L59">
    <cfRule type="cellIs" dxfId="97" priority="29" operator="greaterThanOrEqual">
      <formula>402.5</formula>
    </cfRule>
    <cfRule type="cellIs" dxfId="96" priority="30" operator="lessThan">
      <formula>402.5</formula>
    </cfRule>
  </conditionalFormatting>
  <conditionalFormatting sqref="L105">
    <cfRule type="notContainsBlanks" dxfId="95" priority="54">
      <formula>LEN(TRIM(L105))&gt;0</formula>
    </cfRule>
  </conditionalFormatting>
  <conditionalFormatting sqref="N59">
    <cfRule type="cellIs" dxfId="94" priority="37" operator="greaterThanOrEqual">
      <formula>265</formula>
    </cfRule>
    <cfRule type="cellIs" dxfId="93" priority="38" operator="lessThan">
      <formula>265</formula>
    </cfRule>
  </conditionalFormatting>
  <conditionalFormatting sqref="N105">
    <cfRule type="notContainsBlanks" dxfId="92" priority="55">
      <formula>LEN(TRIM(N105))&gt;0</formula>
    </cfRule>
  </conditionalFormatting>
  <conditionalFormatting sqref="O59">
    <cfRule type="cellIs" dxfId="91" priority="39" operator="greaterThanOrEqual">
      <formula>385</formula>
    </cfRule>
    <cfRule type="cellIs" dxfId="90" priority="40" operator="lessThan">
      <formula>385</formula>
    </cfRule>
  </conditionalFormatting>
  <conditionalFormatting sqref="O105">
    <cfRule type="notContainsBlanks" dxfId="89" priority="56">
      <formula>LEN(TRIM(O105))&gt;0</formula>
    </cfRule>
  </conditionalFormatting>
  <conditionalFormatting sqref="P59">
    <cfRule type="cellIs" dxfId="88" priority="41" operator="greaterThanOrEqual">
      <formula>272.5</formula>
    </cfRule>
    <cfRule type="cellIs" dxfId="87" priority="42" operator="lessThan">
      <formula>272.5</formula>
    </cfRule>
  </conditionalFormatting>
  <conditionalFormatting sqref="P105">
    <cfRule type="notContainsBlanks" dxfId="86" priority="57">
      <formula>LEN(TRIM(P105))&gt;0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013"/>
  <sheetViews>
    <sheetView workbookViewId="0">
      <selection activeCell="J1" sqref="J1:J1048576"/>
    </sheetView>
  </sheetViews>
  <sheetFormatPr defaultColWidth="12.6640625" defaultRowHeight="15.75" customHeight="1" x14ac:dyDescent="0.25"/>
  <cols>
    <col min="1" max="1" width="29" customWidth="1"/>
    <col min="7" max="7" width="15.21875" customWidth="1"/>
  </cols>
  <sheetData>
    <row r="1" spans="1:25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x14ac:dyDescent="0.25">
      <c r="A3" s="14" t="s">
        <v>103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x14ac:dyDescent="0.25">
      <c r="A4" s="15" t="s">
        <v>104</v>
      </c>
      <c r="B4" s="16" t="s">
        <v>48</v>
      </c>
      <c r="C4" s="16" t="s">
        <v>52</v>
      </c>
      <c r="D4" s="16" t="s">
        <v>9</v>
      </c>
      <c r="E4" s="16" t="s">
        <v>10</v>
      </c>
      <c r="F4" s="16" t="s">
        <v>11</v>
      </c>
      <c r="G4" s="16" t="s">
        <v>6</v>
      </c>
      <c r="H4" s="16" t="s">
        <v>54</v>
      </c>
      <c r="I4" s="13" t="s">
        <v>8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x14ac:dyDescent="0.25">
      <c r="A5" s="17" t="s">
        <v>107</v>
      </c>
      <c r="B5" s="20">
        <v>43</v>
      </c>
      <c r="C5" s="19">
        <v>41</v>
      </c>
      <c r="D5" s="19">
        <v>34</v>
      </c>
      <c r="E5" s="19">
        <v>30</v>
      </c>
      <c r="F5" s="19">
        <v>30</v>
      </c>
      <c r="G5" s="19">
        <v>29</v>
      </c>
      <c r="H5" s="19">
        <v>36</v>
      </c>
      <c r="I5" s="20">
        <v>36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x14ac:dyDescent="0.25">
      <c r="A6" s="17" t="s">
        <v>108</v>
      </c>
      <c r="B6" s="20" t="s">
        <v>111</v>
      </c>
      <c r="C6" s="19" t="s">
        <v>113</v>
      </c>
      <c r="D6" s="19" t="s">
        <v>111</v>
      </c>
      <c r="E6" s="19" t="s">
        <v>111</v>
      </c>
      <c r="F6" s="19" t="s">
        <v>111</v>
      </c>
      <c r="G6" s="19" t="s">
        <v>113</v>
      </c>
      <c r="H6" s="19" t="s">
        <v>111</v>
      </c>
      <c r="I6" s="20" t="s">
        <v>111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x14ac:dyDescent="0.25">
      <c r="A7" s="17" t="s">
        <v>114</v>
      </c>
      <c r="B7" s="20" t="s">
        <v>113</v>
      </c>
      <c r="C7" s="19" t="s">
        <v>113</v>
      </c>
      <c r="D7" s="19" t="s">
        <v>113</v>
      </c>
      <c r="E7" s="19" t="s">
        <v>113</v>
      </c>
      <c r="F7" s="19" t="s">
        <v>113</v>
      </c>
      <c r="G7" s="19" t="s">
        <v>113</v>
      </c>
      <c r="H7" s="19" t="s">
        <v>113</v>
      </c>
      <c r="I7" s="20" t="s">
        <v>113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x14ac:dyDescent="0.25">
      <c r="A8" s="21"/>
      <c r="B8" s="13"/>
      <c r="C8" s="21"/>
      <c r="D8" s="21"/>
      <c r="E8" s="21"/>
      <c r="F8" s="21"/>
      <c r="G8" s="21"/>
      <c r="H8" s="21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x14ac:dyDescent="0.25">
      <c r="A9" s="17" t="s">
        <v>115</v>
      </c>
      <c r="B9" s="20">
        <v>45</v>
      </c>
      <c r="C9" s="19">
        <v>48</v>
      </c>
      <c r="D9" s="19">
        <v>38</v>
      </c>
      <c r="E9" s="19">
        <v>38</v>
      </c>
      <c r="F9" s="19">
        <v>35</v>
      </c>
      <c r="G9" s="19">
        <v>35</v>
      </c>
      <c r="H9" s="19">
        <v>43</v>
      </c>
      <c r="I9" s="20">
        <v>41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x14ac:dyDescent="0.25">
      <c r="A10" s="17" t="s">
        <v>108</v>
      </c>
      <c r="B10" s="20" t="s">
        <v>111</v>
      </c>
      <c r="C10" s="19" t="s">
        <v>113</v>
      </c>
      <c r="D10" s="19" t="s">
        <v>113</v>
      </c>
      <c r="E10" s="19" t="s">
        <v>113</v>
      </c>
      <c r="F10" s="19" t="s">
        <v>111</v>
      </c>
      <c r="G10" s="19" t="s">
        <v>113</v>
      </c>
      <c r="H10" s="19" t="s">
        <v>250</v>
      </c>
      <c r="I10" s="20" t="s">
        <v>112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x14ac:dyDescent="0.25">
      <c r="A11" s="17" t="s">
        <v>114</v>
      </c>
      <c r="B11" s="20" t="s">
        <v>113</v>
      </c>
      <c r="C11" s="19" t="s">
        <v>113</v>
      </c>
      <c r="D11" s="19" t="s">
        <v>113</v>
      </c>
      <c r="E11" s="19" t="s">
        <v>113</v>
      </c>
      <c r="F11" s="19" t="s">
        <v>113</v>
      </c>
      <c r="G11" s="19" t="s">
        <v>113</v>
      </c>
      <c r="H11" s="19" t="s">
        <v>113</v>
      </c>
      <c r="I11" s="20" t="s">
        <v>113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x14ac:dyDescent="0.25">
      <c r="A13" s="15" t="s">
        <v>121</v>
      </c>
      <c r="B13" s="13"/>
      <c r="C13" s="21"/>
      <c r="D13" s="21"/>
      <c r="E13" s="21"/>
      <c r="F13" s="21"/>
      <c r="G13" s="21"/>
      <c r="H13" s="21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x14ac:dyDescent="0.25">
      <c r="A14" s="17" t="s">
        <v>107</v>
      </c>
      <c r="B14" s="20">
        <v>36</v>
      </c>
      <c r="C14" s="19">
        <v>37</v>
      </c>
      <c r="D14" s="19">
        <v>35</v>
      </c>
      <c r="E14" s="19">
        <v>28</v>
      </c>
      <c r="F14" s="19">
        <v>30</v>
      </c>
      <c r="G14" s="19">
        <v>35</v>
      </c>
      <c r="H14" s="19">
        <v>32</v>
      </c>
      <c r="I14" s="20">
        <v>36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x14ac:dyDescent="0.25">
      <c r="A15" s="17" t="s">
        <v>108</v>
      </c>
      <c r="B15" s="20" t="s">
        <v>111</v>
      </c>
      <c r="C15" s="19" t="s">
        <v>112</v>
      </c>
      <c r="D15" s="19" t="s">
        <v>111</v>
      </c>
      <c r="E15" s="19" t="s">
        <v>111</v>
      </c>
      <c r="F15" s="19" t="s">
        <v>111</v>
      </c>
      <c r="G15" s="19" t="s">
        <v>113</v>
      </c>
      <c r="H15" s="19" t="s">
        <v>111</v>
      </c>
      <c r="I15" s="20" t="s">
        <v>111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x14ac:dyDescent="0.25">
      <c r="A16" s="17" t="s">
        <v>114</v>
      </c>
      <c r="B16" s="20" t="s">
        <v>113</v>
      </c>
      <c r="C16" s="19" t="s">
        <v>113</v>
      </c>
      <c r="D16" s="19" t="s">
        <v>113</v>
      </c>
      <c r="E16" s="19" t="s">
        <v>113</v>
      </c>
      <c r="F16" s="19" t="s">
        <v>113</v>
      </c>
      <c r="G16" s="19" t="s">
        <v>113</v>
      </c>
      <c r="H16" s="19" t="s">
        <v>113</v>
      </c>
      <c r="I16" s="20" t="s">
        <v>113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x14ac:dyDescent="0.25">
      <c r="A17" s="21"/>
      <c r="B17" s="13"/>
      <c r="C17" s="21"/>
      <c r="D17" s="21"/>
      <c r="E17" s="21"/>
      <c r="F17" s="21"/>
      <c r="G17" s="21"/>
      <c r="H17" s="21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x14ac:dyDescent="0.25">
      <c r="A18" s="17" t="s">
        <v>115</v>
      </c>
      <c r="B18" s="20">
        <v>46</v>
      </c>
      <c r="C18" s="19">
        <v>42</v>
      </c>
      <c r="D18" s="19">
        <v>38</v>
      </c>
      <c r="E18" s="19">
        <v>33</v>
      </c>
      <c r="F18" s="19">
        <v>34</v>
      </c>
      <c r="G18" s="19">
        <v>36</v>
      </c>
      <c r="H18" s="19">
        <v>38</v>
      </c>
      <c r="I18" s="20">
        <v>46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x14ac:dyDescent="0.25">
      <c r="A19" s="17" t="s">
        <v>108</v>
      </c>
      <c r="B19" s="20" t="s">
        <v>113</v>
      </c>
      <c r="C19" s="19" t="s">
        <v>109</v>
      </c>
      <c r="D19" s="19" t="s">
        <v>113</v>
      </c>
      <c r="E19" s="19" t="s">
        <v>113</v>
      </c>
      <c r="F19" s="19" t="s">
        <v>111</v>
      </c>
      <c r="G19" s="19" t="s">
        <v>113</v>
      </c>
      <c r="H19" s="19" t="s">
        <v>112</v>
      </c>
      <c r="I19" s="20" t="s">
        <v>109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x14ac:dyDescent="0.25">
      <c r="A20" s="17" t="s">
        <v>114</v>
      </c>
      <c r="B20" s="20" t="s">
        <v>113</v>
      </c>
      <c r="C20" s="19" t="s">
        <v>113</v>
      </c>
      <c r="D20" s="19" t="s">
        <v>113</v>
      </c>
      <c r="E20" s="19" t="s">
        <v>113</v>
      </c>
      <c r="F20" s="19" t="s">
        <v>113</v>
      </c>
      <c r="G20" s="19" t="s">
        <v>113</v>
      </c>
      <c r="H20" s="19">
        <v>2</v>
      </c>
      <c r="I20" s="20" t="s">
        <v>113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x14ac:dyDescent="0.25">
      <c r="A22" s="15" t="s">
        <v>123</v>
      </c>
      <c r="B22" s="21"/>
      <c r="C22" s="21"/>
      <c r="D22" s="21"/>
      <c r="E22" s="21"/>
      <c r="F22" s="21"/>
      <c r="G22" s="21"/>
      <c r="H22" s="21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x14ac:dyDescent="0.25">
      <c r="A23" s="17" t="s">
        <v>124</v>
      </c>
      <c r="B23" s="45">
        <f t="shared" ref="B23:I23" si="0">IF(B5&gt;B14,B5-B14,B14-B5)</f>
        <v>7</v>
      </c>
      <c r="C23" s="45">
        <f t="shared" si="0"/>
        <v>4</v>
      </c>
      <c r="D23" s="45">
        <f t="shared" si="0"/>
        <v>1</v>
      </c>
      <c r="E23" s="45">
        <f t="shared" si="0"/>
        <v>2</v>
      </c>
      <c r="F23" s="45">
        <f t="shared" si="0"/>
        <v>0</v>
      </c>
      <c r="G23" s="45">
        <f t="shared" si="0"/>
        <v>6</v>
      </c>
      <c r="H23" s="45">
        <f t="shared" si="0"/>
        <v>4</v>
      </c>
      <c r="I23" s="53">
        <f t="shared" si="0"/>
        <v>0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x14ac:dyDescent="0.25">
      <c r="A24" s="17" t="s">
        <v>125</v>
      </c>
      <c r="B24" s="25">
        <f t="shared" ref="B24:I24" si="1">IF(B9&gt;B18,B9-B18,B18-B9)</f>
        <v>1</v>
      </c>
      <c r="C24" s="25">
        <f t="shared" si="1"/>
        <v>6</v>
      </c>
      <c r="D24" s="25">
        <f t="shared" si="1"/>
        <v>0</v>
      </c>
      <c r="E24" s="25">
        <f t="shared" si="1"/>
        <v>5</v>
      </c>
      <c r="F24" s="25">
        <f t="shared" si="1"/>
        <v>1</v>
      </c>
      <c r="G24" s="25">
        <f t="shared" si="1"/>
        <v>1</v>
      </c>
      <c r="H24" s="25">
        <f t="shared" si="1"/>
        <v>5</v>
      </c>
      <c r="I24" s="25">
        <f t="shared" si="1"/>
        <v>5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x14ac:dyDescent="0.25">
      <c r="A26" s="13"/>
      <c r="B26" s="13"/>
      <c r="C26" s="27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x14ac:dyDescent="0.25">
      <c r="A27" s="13"/>
      <c r="B27" s="13"/>
      <c r="C27" s="27"/>
      <c r="D27" s="13"/>
      <c r="E27" s="27"/>
      <c r="F27" s="13"/>
      <c r="G27" s="27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x14ac:dyDescent="0.25">
      <c r="A30" s="14" t="s">
        <v>126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x14ac:dyDescent="0.25">
      <c r="A31" s="15" t="s">
        <v>104</v>
      </c>
      <c r="B31" s="16" t="s">
        <v>48</v>
      </c>
      <c r="C31" s="16" t="s">
        <v>52</v>
      </c>
      <c r="D31" s="16" t="s">
        <v>9</v>
      </c>
      <c r="E31" s="16" t="s">
        <v>10</v>
      </c>
      <c r="F31" s="16" t="s">
        <v>11</v>
      </c>
      <c r="G31" s="16" t="s">
        <v>6</v>
      </c>
      <c r="H31" s="16" t="s">
        <v>54</v>
      </c>
      <c r="I31" s="13" t="s">
        <v>8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x14ac:dyDescent="0.25">
      <c r="A32" s="17" t="s">
        <v>127</v>
      </c>
      <c r="B32" s="19">
        <v>40</v>
      </c>
      <c r="C32" s="18" t="s">
        <v>234</v>
      </c>
      <c r="D32" s="19">
        <v>30</v>
      </c>
      <c r="E32" s="19">
        <v>60</v>
      </c>
      <c r="F32" s="19">
        <v>40</v>
      </c>
      <c r="G32" s="19">
        <v>29</v>
      </c>
      <c r="H32" s="19">
        <v>30</v>
      </c>
      <c r="I32" s="20">
        <v>60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x14ac:dyDescent="0.25">
      <c r="A33" s="28" t="s">
        <v>128</v>
      </c>
      <c r="B33" s="19" t="s">
        <v>132</v>
      </c>
      <c r="C33" s="18" t="s">
        <v>234</v>
      </c>
      <c r="D33" s="19" t="s">
        <v>132</v>
      </c>
      <c r="E33" s="19" t="s">
        <v>129</v>
      </c>
      <c r="F33" s="19" t="s">
        <v>132</v>
      </c>
      <c r="G33" s="19" t="s">
        <v>132</v>
      </c>
      <c r="H33" s="19" t="s">
        <v>132</v>
      </c>
      <c r="I33" s="20" t="s">
        <v>129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x14ac:dyDescent="0.25">
      <c r="A34" s="28" t="s">
        <v>135</v>
      </c>
      <c r="B34" s="19" t="s">
        <v>113</v>
      </c>
      <c r="C34" s="18" t="s">
        <v>234</v>
      </c>
      <c r="D34" s="19" t="s">
        <v>113</v>
      </c>
      <c r="E34" s="19" t="s">
        <v>113</v>
      </c>
      <c r="F34" s="19" t="s">
        <v>113</v>
      </c>
      <c r="G34" s="19" t="s">
        <v>113</v>
      </c>
      <c r="H34" s="19" t="s">
        <v>113</v>
      </c>
      <c r="I34" s="20" t="s">
        <v>113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x14ac:dyDescent="0.25">
      <c r="A36" s="15" t="s">
        <v>121</v>
      </c>
      <c r="B36" s="21"/>
      <c r="C36" s="21"/>
      <c r="D36" s="21"/>
      <c r="E36" s="21"/>
      <c r="F36" s="21"/>
      <c r="G36" s="21"/>
      <c r="H36" s="21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x14ac:dyDescent="0.25">
      <c r="A37" s="17" t="s">
        <v>127</v>
      </c>
      <c r="B37" s="19">
        <v>30</v>
      </c>
      <c r="C37" s="18" t="s">
        <v>234</v>
      </c>
      <c r="D37" s="19">
        <v>30</v>
      </c>
      <c r="E37" s="19">
        <v>60</v>
      </c>
      <c r="F37" s="19">
        <v>40</v>
      </c>
      <c r="G37" s="19">
        <v>30</v>
      </c>
      <c r="H37" s="19">
        <v>34</v>
      </c>
      <c r="I37" s="32" t="s">
        <v>234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x14ac:dyDescent="0.25">
      <c r="A38" s="28" t="s">
        <v>136</v>
      </c>
      <c r="B38" s="19" t="s">
        <v>132</v>
      </c>
      <c r="C38" s="18" t="s">
        <v>234</v>
      </c>
      <c r="D38" s="19" t="s">
        <v>132</v>
      </c>
      <c r="E38" s="19" t="s">
        <v>129</v>
      </c>
      <c r="F38" s="19" t="s">
        <v>132</v>
      </c>
      <c r="G38" s="19" t="s">
        <v>132</v>
      </c>
      <c r="H38" s="19" t="s">
        <v>132</v>
      </c>
      <c r="I38" s="32" t="s">
        <v>234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x14ac:dyDescent="0.25">
      <c r="A39" s="28" t="s">
        <v>135</v>
      </c>
      <c r="B39" s="19" t="s">
        <v>113</v>
      </c>
      <c r="C39" s="18" t="s">
        <v>234</v>
      </c>
      <c r="D39" s="19" t="s">
        <v>113</v>
      </c>
      <c r="E39" s="19" t="s">
        <v>113</v>
      </c>
      <c r="F39" s="19" t="s">
        <v>113</v>
      </c>
      <c r="G39" s="19" t="s">
        <v>113</v>
      </c>
      <c r="H39" s="19" t="s">
        <v>113</v>
      </c>
      <c r="I39" s="32" t="s">
        <v>234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x14ac:dyDescent="0.25">
      <c r="A40" s="13" t="s">
        <v>213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x14ac:dyDescent="0.25">
      <c r="A42" s="15" t="s">
        <v>123</v>
      </c>
      <c r="B42" s="21"/>
      <c r="C42" s="21"/>
      <c r="D42" s="21"/>
      <c r="E42" s="21"/>
      <c r="F42" s="21"/>
      <c r="G42" s="21"/>
      <c r="H42" s="21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x14ac:dyDescent="0.25">
      <c r="A43" s="17" t="s">
        <v>140</v>
      </c>
      <c r="B43" s="22">
        <f>IF(B32&gt;B37,B32-B37,B37-B32)</f>
        <v>10</v>
      </c>
      <c r="C43" s="22"/>
      <c r="D43" s="22">
        <f t="shared" ref="D43:H43" si="2">IF(D32&gt;D37,D32-D37,D37-D32)</f>
        <v>0</v>
      </c>
      <c r="E43" s="22">
        <f t="shared" si="2"/>
        <v>0</v>
      </c>
      <c r="F43" s="22">
        <f t="shared" si="2"/>
        <v>0</v>
      </c>
      <c r="G43" s="22">
        <f t="shared" si="2"/>
        <v>1</v>
      </c>
      <c r="H43" s="22">
        <f t="shared" si="2"/>
        <v>4</v>
      </c>
      <c r="I43" s="20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x14ac:dyDescent="0.25">
      <c r="A44" s="17" t="s">
        <v>141</v>
      </c>
      <c r="B44" s="29">
        <f>IF(B32&lt;B37,B32/B37,B37/B32)</f>
        <v>0.75</v>
      </c>
      <c r="C44" s="29"/>
      <c r="D44" s="29">
        <f t="shared" ref="D44:H44" si="3">IF(D32&lt;D37,D32/D37,D37/D32)</f>
        <v>1</v>
      </c>
      <c r="E44" s="29">
        <f t="shared" si="3"/>
        <v>1</v>
      </c>
      <c r="F44" s="29">
        <f t="shared" si="3"/>
        <v>1</v>
      </c>
      <c r="G44" s="29">
        <f t="shared" si="3"/>
        <v>0.96666666666666667</v>
      </c>
      <c r="H44" s="29">
        <f t="shared" si="3"/>
        <v>0.88235294117647056</v>
      </c>
      <c r="I44" s="20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x14ac:dyDescent="0.25">
      <c r="A47" s="14" t="s">
        <v>142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x14ac:dyDescent="0.25">
      <c r="A48" s="30" t="s">
        <v>104</v>
      </c>
      <c r="B48" s="16" t="s">
        <v>48</v>
      </c>
      <c r="C48" s="16" t="s">
        <v>52</v>
      </c>
      <c r="D48" s="16" t="s">
        <v>9</v>
      </c>
      <c r="E48" s="16" t="s">
        <v>10</v>
      </c>
      <c r="F48" s="16" t="s">
        <v>11</v>
      </c>
      <c r="G48" s="16" t="s">
        <v>6</v>
      </c>
      <c r="H48" s="16" t="s">
        <v>54</v>
      </c>
      <c r="I48" s="13" t="s">
        <v>8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x14ac:dyDescent="0.25">
      <c r="A49" s="31" t="s">
        <v>143</v>
      </c>
      <c r="B49" s="20">
        <v>93</v>
      </c>
      <c r="C49" s="20">
        <v>108</v>
      </c>
      <c r="D49" s="20">
        <v>117</v>
      </c>
      <c r="E49" s="20">
        <v>120</v>
      </c>
      <c r="F49" s="20">
        <v>131</v>
      </c>
      <c r="G49" s="20">
        <v>104</v>
      </c>
      <c r="H49" s="20">
        <v>107</v>
      </c>
      <c r="I49" s="20">
        <v>119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x14ac:dyDescent="0.25">
      <c r="A50" s="31" t="s">
        <v>145</v>
      </c>
      <c r="B50" s="20">
        <v>85</v>
      </c>
      <c r="C50" s="20">
        <v>78</v>
      </c>
      <c r="D50" s="20">
        <v>60</v>
      </c>
      <c r="E50" s="20">
        <v>60</v>
      </c>
      <c r="F50" s="20">
        <v>52</v>
      </c>
      <c r="G50" s="20">
        <v>75</v>
      </c>
      <c r="H50" s="20">
        <v>63</v>
      </c>
      <c r="I50" s="20">
        <v>66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x14ac:dyDescent="0.25">
      <c r="A51" s="31" t="s">
        <v>114</v>
      </c>
      <c r="B51" s="20" t="s">
        <v>199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x14ac:dyDescent="0.25">
      <c r="A52" s="31" t="s">
        <v>251</v>
      </c>
      <c r="B52" s="20">
        <f t="shared" ref="B52:I52" si="4">SUM(B49,B50)</f>
        <v>178</v>
      </c>
      <c r="C52" s="20">
        <f t="shared" si="4"/>
        <v>186</v>
      </c>
      <c r="D52" s="20">
        <f t="shared" si="4"/>
        <v>177</v>
      </c>
      <c r="E52" s="20">
        <f t="shared" si="4"/>
        <v>180</v>
      </c>
      <c r="F52" s="20">
        <f t="shared" si="4"/>
        <v>183</v>
      </c>
      <c r="G52" s="20">
        <f t="shared" si="4"/>
        <v>179</v>
      </c>
      <c r="H52" s="20">
        <f t="shared" si="4"/>
        <v>170</v>
      </c>
      <c r="I52" s="20">
        <f t="shared" si="4"/>
        <v>185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x14ac:dyDescent="0.25">
      <c r="A54" s="30" t="s">
        <v>121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x14ac:dyDescent="0.25">
      <c r="A55" s="31" t="s">
        <v>143</v>
      </c>
      <c r="B55" s="20">
        <v>90</v>
      </c>
      <c r="C55" s="20">
        <v>94</v>
      </c>
      <c r="D55" s="20">
        <v>116</v>
      </c>
      <c r="E55" s="20">
        <v>118</v>
      </c>
      <c r="F55" s="20">
        <v>126</v>
      </c>
      <c r="G55" s="20">
        <v>108</v>
      </c>
      <c r="H55" s="20">
        <v>104</v>
      </c>
      <c r="I55" s="20">
        <v>97</v>
      </c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x14ac:dyDescent="0.25">
      <c r="A56" s="31" t="s">
        <v>145</v>
      </c>
      <c r="B56" s="20">
        <v>85</v>
      </c>
      <c r="C56" s="20">
        <v>78</v>
      </c>
      <c r="D56" s="20">
        <v>69</v>
      </c>
      <c r="E56" s="20">
        <v>77</v>
      </c>
      <c r="F56" s="20">
        <v>67</v>
      </c>
      <c r="G56" s="20">
        <v>64</v>
      </c>
      <c r="H56" s="20">
        <v>67</v>
      </c>
      <c r="I56" s="20">
        <v>82</v>
      </c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x14ac:dyDescent="0.25">
      <c r="A57" s="31" t="s">
        <v>114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x14ac:dyDescent="0.25">
      <c r="A58" s="31" t="s">
        <v>251</v>
      </c>
      <c r="B58" s="20">
        <f t="shared" ref="B58:I58" si="5">SUM(B55,B56)</f>
        <v>175</v>
      </c>
      <c r="C58" s="20">
        <f t="shared" si="5"/>
        <v>172</v>
      </c>
      <c r="D58" s="20">
        <f t="shared" si="5"/>
        <v>185</v>
      </c>
      <c r="E58" s="20">
        <f t="shared" si="5"/>
        <v>195</v>
      </c>
      <c r="F58" s="20">
        <f t="shared" si="5"/>
        <v>193</v>
      </c>
      <c r="G58" s="20">
        <f t="shared" si="5"/>
        <v>172</v>
      </c>
      <c r="H58" s="20">
        <f t="shared" si="5"/>
        <v>171</v>
      </c>
      <c r="I58" s="20">
        <f t="shared" si="5"/>
        <v>179</v>
      </c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x14ac:dyDescent="0.25">
      <c r="A61" s="14" t="s">
        <v>149</v>
      </c>
      <c r="B61" s="16" t="s">
        <v>48</v>
      </c>
      <c r="C61" s="16" t="s">
        <v>52</v>
      </c>
      <c r="D61" s="16" t="s">
        <v>9</v>
      </c>
      <c r="E61" s="16" t="s">
        <v>10</v>
      </c>
      <c r="F61" s="16" t="s">
        <v>11</v>
      </c>
      <c r="G61" s="16" t="s">
        <v>6</v>
      </c>
      <c r="H61" s="16" t="s">
        <v>54</v>
      </c>
      <c r="I61" s="13" t="s">
        <v>8</v>
      </c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x14ac:dyDescent="0.25">
      <c r="A62" s="17" t="s">
        <v>150</v>
      </c>
      <c r="B62" s="19">
        <v>344.4</v>
      </c>
      <c r="C62" s="19" t="s">
        <v>252</v>
      </c>
      <c r="D62" s="19">
        <v>190.6</v>
      </c>
      <c r="E62" s="19">
        <v>280.5</v>
      </c>
      <c r="F62" s="19">
        <v>173.6</v>
      </c>
      <c r="G62" s="19"/>
      <c r="H62" s="19">
        <v>316.7</v>
      </c>
      <c r="I62" s="20">
        <v>354.6</v>
      </c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x14ac:dyDescent="0.25">
      <c r="A63" s="17" t="s">
        <v>114</v>
      </c>
      <c r="B63" s="19">
        <v>0</v>
      </c>
      <c r="C63" s="19" t="s">
        <v>252</v>
      </c>
      <c r="D63" s="19">
        <v>0</v>
      </c>
      <c r="E63" s="19">
        <v>0</v>
      </c>
      <c r="F63" s="19">
        <v>0</v>
      </c>
      <c r="G63" s="19"/>
      <c r="H63" s="19">
        <v>2</v>
      </c>
      <c r="I63" s="20">
        <v>0</v>
      </c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x14ac:dyDescent="0.25">
      <c r="A64" s="20" t="s">
        <v>151</v>
      </c>
      <c r="B64" s="20">
        <v>157</v>
      </c>
      <c r="C64" s="20"/>
      <c r="D64" s="20">
        <v>127.6</v>
      </c>
      <c r="E64" s="20">
        <v>120</v>
      </c>
      <c r="F64" s="20">
        <v>108</v>
      </c>
      <c r="G64" s="20"/>
      <c r="H64" s="20">
        <v>135.80000000000001</v>
      </c>
      <c r="I64" s="20">
        <v>124.8</v>
      </c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x14ac:dyDescent="0.25">
      <c r="A65" s="20" t="s">
        <v>152</v>
      </c>
      <c r="B65" s="20">
        <f>2.5*B64</f>
        <v>392.5</v>
      </c>
      <c r="C65" s="20"/>
      <c r="D65" s="20">
        <f t="shared" ref="D65:F65" si="6">2.5*D64</f>
        <v>319</v>
      </c>
      <c r="E65" s="20">
        <f t="shared" si="6"/>
        <v>300</v>
      </c>
      <c r="F65" s="20">
        <f t="shared" si="6"/>
        <v>270</v>
      </c>
      <c r="G65" s="20"/>
      <c r="H65" s="20">
        <f t="shared" ref="H65:I65" si="7">2.5*H64</f>
        <v>339.5</v>
      </c>
      <c r="I65" s="20">
        <f t="shared" si="7"/>
        <v>312</v>
      </c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x14ac:dyDescent="0.25">
      <c r="A66" s="20" t="s">
        <v>153</v>
      </c>
      <c r="B66" s="34">
        <f>B62/B65</f>
        <v>0.87745222929936295</v>
      </c>
      <c r="C66" s="34"/>
      <c r="D66" s="34">
        <f t="shared" ref="D66:F66" si="8">D62/D65</f>
        <v>0.59749216300940433</v>
      </c>
      <c r="E66" s="34">
        <f t="shared" si="8"/>
        <v>0.93500000000000005</v>
      </c>
      <c r="F66" s="34">
        <f t="shared" si="8"/>
        <v>0.64296296296296296</v>
      </c>
      <c r="G66" s="34"/>
      <c r="H66" s="34">
        <f>H62/H65</f>
        <v>0.93284241531664214</v>
      </c>
      <c r="I66" s="62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x14ac:dyDescent="0.25">
      <c r="A69" s="14" t="s">
        <v>154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x14ac:dyDescent="0.25">
      <c r="A70" s="15" t="s">
        <v>155</v>
      </c>
      <c r="B70" s="16" t="s">
        <v>48</v>
      </c>
      <c r="C70" s="16" t="s">
        <v>52</v>
      </c>
      <c r="D70" s="16" t="s">
        <v>9</v>
      </c>
      <c r="E70" s="16" t="s">
        <v>10</v>
      </c>
      <c r="F70" s="16" t="s">
        <v>11</v>
      </c>
      <c r="G70" s="16" t="s">
        <v>6</v>
      </c>
      <c r="H70" s="16" t="s">
        <v>54</v>
      </c>
      <c r="I70" s="13" t="s">
        <v>8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x14ac:dyDescent="0.25">
      <c r="A71" s="17" t="s">
        <v>156</v>
      </c>
      <c r="B71" s="19" t="s">
        <v>157</v>
      </c>
      <c r="C71" s="18" t="s">
        <v>253</v>
      </c>
      <c r="D71" s="19" t="s">
        <v>157</v>
      </c>
      <c r="E71" s="19" t="s">
        <v>157</v>
      </c>
      <c r="F71" s="19" t="s">
        <v>157</v>
      </c>
      <c r="G71" s="19" t="s">
        <v>157</v>
      </c>
      <c r="H71" s="19" t="s">
        <v>157</v>
      </c>
      <c r="I71" s="32" t="s">
        <v>253</v>
      </c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x14ac:dyDescent="0.25">
      <c r="A72" s="17" t="s">
        <v>159</v>
      </c>
      <c r="B72" s="37">
        <v>6.25E-2</v>
      </c>
      <c r="C72" s="65" t="s">
        <v>253</v>
      </c>
      <c r="D72" s="37">
        <v>0.125</v>
      </c>
      <c r="E72" s="37">
        <v>0.11597222222222223</v>
      </c>
      <c r="F72" s="37">
        <v>0.11041666666666666</v>
      </c>
      <c r="G72" s="37">
        <v>4.4444444444444446E-2</v>
      </c>
      <c r="H72" s="37">
        <v>0.125</v>
      </c>
      <c r="I72" s="65" t="s">
        <v>253</v>
      </c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x14ac:dyDescent="0.25">
      <c r="A73" s="17" t="s">
        <v>128</v>
      </c>
      <c r="B73" s="19" t="s">
        <v>132</v>
      </c>
      <c r="C73" s="65" t="s">
        <v>253</v>
      </c>
      <c r="D73" s="19" t="s">
        <v>132</v>
      </c>
      <c r="E73" s="19" t="s">
        <v>132</v>
      </c>
      <c r="F73" s="19" t="s">
        <v>132</v>
      </c>
      <c r="G73" s="19" t="s">
        <v>132</v>
      </c>
      <c r="H73" s="19" t="s">
        <v>160</v>
      </c>
      <c r="I73" s="65" t="s">
        <v>253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x14ac:dyDescent="0.25">
      <c r="A75" s="15" t="s">
        <v>162</v>
      </c>
      <c r="B75" s="21"/>
      <c r="C75" s="21"/>
      <c r="D75" s="21"/>
      <c r="E75" s="21"/>
      <c r="F75" s="21"/>
      <c r="G75" s="21"/>
      <c r="H75" s="21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x14ac:dyDescent="0.25">
      <c r="A76" s="17" t="s">
        <v>156</v>
      </c>
      <c r="B76" s="19" t="s">
        <v>157</v>
      </c>
      <c r="C76" s="18" t="s">
        <v>253</v>
      </c>
      <c r="D76" s="19" t="s">
        <v>157</v>
      </c>
      <c r="E76" s="19" t="s">
        <v>157</v>
      </c>
      <c r="F76" s="19" t="s">
        <v>157</v>
      </c>
      <c r="G76" s="19" t="s">
        <v>254</v>
      </c>
      <c r="H76" s="19" t="s">
        <v>157</v>
      </c>
      <c r="I76" s="32" t="s">
        <v>253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x14ac:dyDescent="0.25">
      <c r="A77" s="17" t="s">
        <v>159</v>
      </c>
      <c r="B77" s="37">
        <v>4.1666666666666664E-2</v>
      </c>
      <c r="C77" s="65" t="s">
        <v>253</v>
      </c>
      <c r="D77" s="37">
        <v>8.3333333333333329E-2</v>
      </c>
      <c r="E77" s="37">
        <v>5.5555555555555552E-2</v>
      </c>
      <c r="F77" s="37">
        <v>4.5138888888888888E-2</v>
      </c>
      <c r="G77" s="37">
        <v>4.1666666666666664E-2</v>
      </c>
      <c r="H77" s="37">
        <v>5.347222222222222E-2</v>
      </c>
      <c r="I77" s="65" t="s">
        <v>253</v>
      </c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x14ac:dyDescent="0.25">
      <c r="A78" s="17" t="s">
        <v>128</v>
      </c>
      <c r="B78" s="19" t="s">
        <v>132</v>
      </c>
      <c r="C78" s="65" t="s">
        <v>253</v>
      </c>
      <c r="D78" s="19" t="s">
        <v>132</v>
      </c>
      <c r="E78" s="19" t="s">
        <v>132</v>
      </c>
      <c r="F78" s="19" t="s">
        <v>132</v>
      </c>
      <c r="G78" s="19" t="s">
        <v>132</v>
      </c>
      <c r="H78" s="19" t="s">
        <v>132</v>
      </c>
      <c r="I78" s="65" t="s">
        <v>253</v>
      </c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x14ac:dyDescent="0.25">
      <c r="A80" s="15" t="s">
        <v>165</v>
      </c>
      <c r="B80" s="21"/>
      <c r="C80" s="21"/>
      <c r="D80" s="21"/>
      <c r="E80" s="21"/>
      <c r="F80" s="21"/>
      <c r="G80" s="21"/>
      <c r="H80" s="21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x14ac:dyDescent="0.25">
      <c r="A81" s="17" t="s">
        <v>156</v>
      </c>
      <c r="B81" s="19" t="s">
        <v>158</v>
      </c>
      <c r="C81" s="18" t="s">
        <v>253</v>
      </c>
      <c r="D81" s="19" t="s">
        <v>157</v>
      </c>
      <c r="E81" s="19" t="s">
        <v>157</v>
      </c>
      <c r="F81" s="19" t="s">
        <v>157</v>
      </c>
      <c r="G81" s="19" t="s">
        <v>254</v>
      </c>
      <c r="H81" s="19" t="s">
        <v>157</v>
      </c>
      <c r="I81" s="32" t="s">
        <v>253</v>
      </c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x14ac:dyDescent="0.25">
      <c r="A82" s="17" t="s">
        <v>159</v>
      </c>
      <c r="B82" s="37">
        <v>4.1666666666666664E-2</v>
      </c>
      <c r="C82" s="65" t="s">
        <v>253</v>
      </c>
      <c r="D82" s="37">
        <v>8.3333333333333329E-2</v>
      </c>
      <c r="E82" s="37">
        <v>7.1527777777777773E-2</v>
      </c>
      <c r="F82" s="37">
        <v>5.4166666666666669E-2</v>
      </c>
      <c r="G82" s="37">
        <v>4.4444444444444446E-2</v>
      </c>
      <c r="H82" s="37">
        <v>7.1527777777777773E-2</v>
      </c>
      <c r="I82" s="65" t="s">
        <v>253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x14ac:dyDescent="0.25">
      <c r="A83" s="17" t="s">
        <v>128</v>
      </c>
      <c r="B83" s="19" t="s">
        <v>132</v>
      </c>
      <c r="C83" s="65" t="s">
        <v>253</v>
      </c>
      <c r="D83" s="19" t="s">
        <v>132</v>
      </c>
      <c r="E83" s="19" t="s">
        <v>132</v>
      </c>
      <c r="F83" s="19" t="s">
        <v>132</v>
      </c>
      <c r="G83" s="19" t="s">
        <v>132</v>
      </c>
      <c r="H83" s="19" t="s">
        <v>132</v>
      </c>
      <c r="I83" s="65" t="s">
        <v>253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x14ac:dyDescent="0.25">
      <c r="A85" s="15" t="s">
        <v>166</v>
      </c>
      <c r="B85" s="21"/>
      <c r="C85" s="21"/>
      <c r="D85" s="21"/>
      <c r="E85" s="21"/>
      <c r="F85" s="21"/>
      <c r="G85" s="21"/>
      <c r="H85" s="21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x14ac:dyDescent="0.25">
      <c r="A86" s="17" t="s">
        <v>156</v>
      </c>
      <c r="B86" s="1" t="s">
        <v>158</v>
      </c>
      <c r="C86" s="18" t="s">
        <v>253</v>
      </c>
      <c r="D86" s="19" t="s">
        <v>157</v>
      </c>
      <c r="E86" s="18"/>
      <c r="F86" s="19" t="s">
        <v>157</v>
      </c>
      <c r="G86" s="19" t="s">
        <v>158</v>
      </c>
      <c r="H86" s="19" t="s">
        <v>158</v>
      </c>
      <c r="I86" s="20" t="s">
        <v>158</v>
      </c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x14ac:dyDescent="0.25">
      <c r="A87" s="17" t="s">
        <v>159</v>
      </c>
      <c r="B87" s="60">
        <v>5.8333333333333334E-2</v>
      </c>
      <c r="C87" s="65" t="s">
        <v>253</v>
      </c>
      <c r="D87" s="37">
        <v>0.11736111111111111</v>
      </c>
      <c r="E87" s="18"/>
      <c r="F87" s="37">
        <v>9.6527777777777782E-2</v>
      </c>
      <c r="G87" s="37">
        <v>5.5555555555555552E-2</v>
      </c>
      <c r="H87" s="37">
        <v>7.9166666666666663E-2</v>
      </c>
      <c r="I87" s="60">
        <v>0.10277777777777777</v>
      </c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x14ac:dyDescent="0.25">
      <c r="A88" s="17" t="s">
        <v>128</v>
      </c>
      <c r="B88" s="19" t="s">
        <v>167</v>
      </c>
      <c r="C88" s="65" t="s">
        <v>253</v>
      </c>
      <c r="D88" s="19" t="s">
        <v>201</v>
      </c>
      <c r="E88" s="18"/>
      <c r="F88" s="19" t="s">
        <v>219</v>
      </c>
      <c r="G88" s="19" t="s">
        <v>198</v>
      </c>
      <c r="H88" s="19" t="s">
        <v>167</v>
      </c>
      <c r="I88" s="20" t="s">
        <v>167</v>
      </c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x14ac:dyDescent="0.25">
      <c r="A90" s="15" t="s">
        <v>169</v>
      </c>
      <c r="B90" s="21"/>
      <c r="C90" s="21"/>
      <c r="D90" s="21"/>
      <c r="E90" s="21"/>
      <c r="F90" s="21"/>
      <c r="G90" s="21"/>
      <c r="H90" s="21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x14ac:dyDescent="0.25">
      <c r="A91" s="17" t="s">
        <v>170</v>
      </c>
      <c r="B91" s="40" t="e">
        <f>B72/#REF!</f>
        <v>#REF!</v>
      </c>
      <c r="C91" s="40" t="e">
        <f t="shared" ref="C91:I91" si="9">C72/C87</f>
        <v>#VALUE!</v>
      </c>
      <c r="D91" s="40">
        <f t="shared" si="9"/>
        <v>1.0650887573964498</v>
      </c>
      <c r="E91" s="40" t="e">
        <f t="shared" si="9"/>
        <v>#DIV/0!</v>
      </c>
      <c r="F91" s="40">
        <f t="shared" si="9"/>
        <v>1.1438848920863309</v>
      </c>
      <c r="G91" s="40">
        <f t="shared" si="9"/>
        <v>0.8</v>
      </c>
      <c r="H91" s="40">
        <f t="shared" si="9"/>
        <v>1.5789473684210527</v>
      </c>
      <c r="I91" s="40" t="e">
        <f t="shared" si="9"/>
        <v>#VALUE!</v>
      </c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x14ac:dyDescent="0.25">
      <c r="A92" s="17" t="s">
        <v>171</v>
      </c>
      <c r="B92" s="40">
        <f t="shared" ref="B92:I92" si="10">IF(B77&gt;B82,B82/B77,B77/B82)</f>
        <v>1</v>
      </c>
      <c r="C92" s="40" t="e">
        <f t="shared" si="10"/>
        <v>#VALUE!</v>
      </c>
      <c r="D92" s="40">
        <f t="shared" si="10"/>
        <v>1</v>
      </c>
      <c r="E92" s="40">
        <f t="shared" si="10"/>
        <v>0.77669902912621358</v>
      </c>
      <c r="F92" s="40">
        <f t="shared" si="10"/>
        <v>0.83333333333333326</v>
      </c>
      <c r="G92" s="40">
        <f t="shared" si="10"/>
        <v>0.93749999999999989</v>
      </c>
      <c r="H92" s="40">
        <f t="shared" si="10"/>
        <v>0.74757281553398058</v>
      </c>
      <c r="I92" s="40" t="e">
        <f t="shared" si="10"/>
        <v>#VALUE!</v>
      </c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x14ac:dyDescent="0.25">
      <c r="A93" s="17" t="s">
        <v>172</v>
      </c>
      <c r="B93" s="40" t="e">
        <f>B77/#REF!</f>
        <v>#REF!</v>
      </c>
      <c r="C93" s="40" t="e">
        <f t="shared" ref="C93:I93" si="11">C77/C87</f>
        <v>#VALUE!</v>
      </c>
      <c r="D93" s="40">
        <f t="shared" si="11"/>
        <v>0.7100591715976331</v>
      </c>
      <c r="E93" s="40" t="e">
        <f t="shared" si="11"/>
        <v>#DIV/0!</v>
      </c>
      <c r="F93" s="40">
        <f t="shared" si="11"/>
        <v>0.46762589928057552</v>
      </c>
      <c r="G93" s="40">
        <f t="shared" si="11"/>
        <v>0.75</v>
      </c>
      <c r="H93" s="40">
        <f t="shared" si="11"/>
        <v>0.67543859649122806</v>
      </c>
      <c r="I93" s="40" t="e">
        <f t="shared" si="11"/>
        <v>#VALUE!</v>
      </c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x14ac:dyDescent="0.25">
      <c r="A94" s="17" t="s">
        <v>173</v>
      </c>
      <c r="B94" s="40" t="e">
        <f>B82/#REF!</f>
        <v>#REF!</v>
      </c>
      <c r="C94" s="40" t="e">
        <f t="shared" ref="C94:I94" si="12">C82/C87</f>
        <v>#VALUE!</v>
      </c>
      <c r="D94" s="40">
        <f t="shared" si="12"/>
        <v>0.7100591715976331</v>
      </c>
      <c r="E94" s="40" t="e">
        <f t="shared" si="12"/>
        <v>#DIV/0!</v>
      </c>
      <c r="F94" s="40">
        <f t="shared" si="12"/>
        <v>0.5611510791366906</v>
      </c>
      <c r="G94" s="40">
        <f t="shared" si="12"/>
        <v>0.8</v>
      </c>
      <c r="H94" s="40">
        <f t="shared" si="12"/>
        <v>0.90350877192982459</v>
      </c>
      <c r="I94" s="40" t="e">
        <f t="shared" si="12"/>
        <v>#VALUE!</v>
      </c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x14ac:dyDescent="0.25">
      <c r="A97" s="15" t="s">
        <v>248</v>
      </c>
      <c r="B97" s="16" t="s">
        <v>48</v>
      </c>
      <c r="C97" s="16" t="s">
        <v>52</v>
      </c>
      <c r="D97" s="16" t="s">
        <v>9</v>
      </c>
      <c r="E97" s="16" t="s">
        <v>10</v>
      </c>
      <c r="F97" s="16" t="s">
        <v>11</v>
      </c>
      <c r="G97" s="16" t="s">
        <v>6</v>
      </c>
      <c r="H97" s="16" t="s">
        <v>54</v>
      </c>
      <c r="I97" s="13" t="s">
        <v>8</v>
      </c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x14ac:dyDescent="0.25">
      <c r="A98" s="14" t="s">
        <v>175</v>
      </c>
      <c r="B98" s="20">
        <v>1</v>
      </c>
      <c r="C98" s="20">
        <v>0</v>
      </c>
      <c r="D98" s="20">
        <v>8.5</v>
      </c>
      <c r="E98" s="20">
        <v>9.75</v>
      </c>
      <c r="F98" s="20">
        <v>2</v>
      </c>
      <c r="G98" s="20">
        <v>0.5</v>
      </c>
      <c r="H98" s="20">
        <v>10.25</v>
      </c>
      <c r="I98" s="20">
        <v>12</v>
      </c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x14ac:dyDescent="0.25"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x14ac:dyDescent="0.25">
      <c r="A100" s="14" t="s">
        <v>177</v>
      </c>
      <c r="B100" s="20">
        <v>20</v>
      </c>
      <c r="C100" s="26" t="s">
        <v>179</v>
      </c>
      <c r="D100" s="20">
        <v>10</v>
      </c>
      <c r="E100" s="20">
        <v>7</v>
      </c>
      <c r="F100" s="20">
        <v>8</v>
      </c>
      <c r="G100" s="20">
        <v>50</v>
      </c>
      <c r="H100" s="20">
        <v>20</v>
      </c>
      <c r="I100" s="20">
        <v>11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x14ac:dyDescent="0.25"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x14ac:dyDescent="0.25">
      <c r="A102" s="14" t="s">
        <v>178</v>
      </c>
      <c r="B102" s="20">
        <v>2.2400000000000002</v>
      </c>
      <c r="C102" s="26" t="s">
        <v>179</v>
      </c>
      <c r="D102" s="20">
        <v>2.68</v>
      </c>
      <c r="E102" s="26" t="s">
        <v>179</v>
      </c>
      <c r="F102" s="20">
        <v>2.69</v>
      </c>
      <c r="G102" s="26" t="s">
        <v>179</v>
      </c>
      <c r="H102" s="20">
        <v>2.09</v>
      </c>
      <c r="I102" s="20">
        <v>2.2599999999999998</v>
      </c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x14ac:dyDescent="0.25">
      <c r="A104" s="14" t="s">
        <v>249</v>
      </c>
      <c r="B104" s="20">
        <v>11.28</v>
      </c>
      <c r="C104" s="20"/>
      <c r="D104" s="20">
        <v>32</v>
      </c>
      <c r="E104" s="20"/>
      <c r="F104" s="20">
        <v>40</v>
      </c>
      <c r="G104" s="20"/>
      <c r="H104" s="20">
        <v>9.75</v>
      </c>
      <c r="I104" s="20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x14ac:dyDescent="0.25">
      <c r="A106" s="14" t="s">
        <v>206</v>
      </c>
      <c r="B106" s="20">
        <v>26.75</v>
      </c>
      <c r="C106" s="20"/>
      <c r="D106" s="20">
        <v>19.25</v>
      </c>
      <c r="E106" s="20" t="s">
        <v>255</v>
      </c>
      <c r="F106" s="20">
        <v>21.25</v>
      </c>
      <c r="G106" s="20">
        <v>24</v>
      </c>
      <c r="H106" s="20">
        <v>29.25</v>
      </c>
      <c r="I106" s="20" t="s">
        <v>255</v>
      </c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x14ac:dyDescent="0.25">
      <c r="A110" s="13" t="s">
        <v>182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x14ac:dyDescent="0.25">
      <c r="A111" s="13" t="s">
        <v>183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x14ac:dyDescent="0.25">
      <c r="A112" s="42" t="s">
        <v>184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1:25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1:25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1:2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1:2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1:2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1:2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1:2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1:2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1:25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1:25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1:25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1:25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1:25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1:2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1:2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spans="1:25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spans="1:25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spans="1:25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spans="1:25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spans="1:25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spans="1:25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  <row r="992" spans="1:25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</row>
    <row r="993" spans="1:25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</row>
    <row r="994" spans="1:25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</row>
    <row r="995" spans="1:25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</row>
    <row r="996" spans="1:25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</row>
    <row r="997" spans="1:25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</row>
    <row r="998" spans="1:25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</row>
    <row r="999" spans="1:25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</row>
    <row r="1000" spans="1:25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</row>
    <row r="1001" spans="1:25" x14ac:dyDescent="0.2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</row>
    <row r="1002" spans="1:25" x14ac:dyDescent="0.25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</row>
    <row r="1003" spans="1:25" x14ac:dyDescent="0.25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</row>
    <row r="1004" spans="1:25" x14ac:dyDescent="0.25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</row>
    <row r="1005" spans="1:25" x14ac:dyDescent="0.2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</row>
    <row r="1006" spans="1:25" x14ac:dyDescent="0.25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</row>
    <row r="1007" spans="1:25" x14ac:dyDescent="0.25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</row>
    <row r="1008" spans="1:25" x14ac:dyDescent="0.25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</row>
    <row r="1009" spans="1:25" x14ac:dyDescent="0.25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</row>
    <row r="1010" spans="1:25" x14ac:dyDescent="0.25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</row>
    <row r="1011" spans="1:25" x14ac:dyDescent="0.25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</row>
    <row r="1012" spans="1:25" x14ac:dyDescent="0.25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</row>
    <row r="1013" spans="1:25" x14ac:dyDescent="0.25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</row>
  </sheetData>
  <conditionalFormatting sqref="A110">
    <cfRule type="notContainsBlanks" dxfId="85" priority="3">
      <formula>LEN(TRIM(A110))&gt;0</formula>
    </cfRule>
  </conditionalFormatting>
  <conditionalFormatting sqref="A111">
    <cfRule type="notContainsBlanks" dxfId="84" priority="2">
      <formula>LEN(TRIM(A111))&gt;0</formula>
    </cfRule>
  </conditionalFormatting>
  <conditionalFormatting sqref="A112">
    <cfRule type="notContainsBlanks" dxfId="83" priority="1">
      <formula>LEN(TRIM(A112))&gt;0</formula>
    </cfRule>
  </conditionalFormatting>
  <conditionalFormatting sqref="B32">
    <cfRule type="cellIs" dxfId="82" priority="37" operator="lessThan">
      <formula>60</formula>
    </cfRule>
  </conditionalFormatting>
  <conditionalFormatting sqref="B37">
    <cfRule type="cellIs" dxfId="81" priority="38" operator="lessThan">
      <formula>60</formula>
    </cfRule>
  </conditionalFormatting>
  <conditionalFormatting sqref="B62">
    <cfRule type="cellIs" dxfId="80" priority="23" operator="greaterThanOrEqual">
      <formula>392.5</formula>
    </cfRule>
    <cfRule type="cellIs" dxfId="79" priority="24" operator="lessThan">
      <formula>392.5</formula>
    </cfRule>
  </conditionalFormatting>
  <conditionalFormatting sqref="B106">
    <cfRule type="notContainsBlanks" dxfId="78" priority="25">
      <formula>LEN(TRIM(B106))&gt;0</formula>
    </cfRule>
  </conditionalFormatting>
  <conditionalFormatting sqref="B44:H44">
    <cfRule type="cellIs" dxfId="77" priority="10" operator="lessThan">
      <formula>"90%"</formula>
    </cfRule>
    <cfRule type="cellIs" dxfId="76" priority="11" operator="greaterThanOrEqual">
      <formula>"90%"</formula>
    </cfRule>
  </conditionalFormatting>
  <conditionalFormatting sqref="B52:I52">
    <cfRule type="cellIs" dxfId="75" priority="30" operator="greaterThanOrEqual">
      <formula>180</formula>
    </cfRule>
    <cfRule type="cellIs" dxfId="74" priority="31" operator="lessThan">
      <formula>180</formula>
    </cfRule>
  </conditionalFormatting>
  <conditionalFormatting sqref="B58:I58">
    <cfRule type="cellIs" dxfId="73" priority="32" operator="greaterThanOrEqual">
      <formula>180</formula>
    </cfRule>
    <cfRule type="cellIs" dxfId="72" priority="33" operator="lessThan">
      <formula>180</formula>
    </cfRule>
  </conditionalFormatting>
  <conditionalFormatting sqref="B91:I91">
    <cfRule type="cellIs" dxfId="71" priority="8" operator="lessThan">
      <formula>0.8</formula>
    </cfRule>
    <cfRule type="cellIs" dxfId="70" priority="9" operator="greaterThanOrEqual">
      <formula>0.8</formula>
    </cfRule>
  </conditionalFormatting>
  <conditionalFormatting sqref="B92:I92">
    <cfRule type="cellIs" dxfId="69" priority="6" operator="greaterThanOrEqual">
      <formula>0.75</formula>
    </cfRule>
    <cfRule type="cellIs" dxfId="68" priority="7" operator="lessThan">
      <formula>0.75</formula>
    </cfRule>
  </conditionalFormatting>
  <conditionalFormatting sqref="B93:I94">
    <cfRule type="cellIs" dxfId="67" priority="4" operator="greaterThanOrEqual">
      <formula>0.5</formula>
    </cfRule>
    <cfRule type="cellIs" dxfId="66" priority="5" operator="lessThan">
      <formula>0.5</formula>
    </cfRule>
  </conditionalFormatting>
  <conditionalFormatting sqref="C7:H7 C11:H11 C16:H16 C20:H20 B34:H34 B39:H39 B63:H63">
    <cfRule type="cellIs" dxfId="65" priority="12" operator="greaterThan">
      <formula>0</formula>
    </cfRule>
  </conditionalFormatting>
  <conditionalFormatting sqref="D62">
    <cfRule type="cellIs" dxfId="64" priority="13" operator="greaterThanOrEqual">
      <formula>319</formula>
    </cfRule>
    <cfRule type="cellIs" dxfId="63" priority="14" operator="lessThan">
      <formula>319</formula>
    </cfRule>
  </conditionalFormatting>
  <conditionalFormatting sqref="D72">
    <cfRule type="cellIs" dxfId="62" priority="41" operator="equal">
      <formula>"3:00"</formula>
    </cfRule>
  </conditionalFormatting>
  <conditionalFormatting sqref="D77">
    <cfRule type="cellIs" dxfId="61" priority="43" operator="equal">
      <formula>"2:00"</formula>
    </cfRule>
  </conditionalFormatting>
  <conditionalFormatting sqref="D82">
    <cfRule type="cellIs" dxfId="60" priority="44" operator="equal">
      <formula>"2:00"</formula>
    </cfRule>
  </conditionalFormatting>
  <conditionalFormatting sqref="D106">
    <cfRule type="notContainsBlanks" dxfId="59" priority="26">
      <formula>LEN(TRIM(D106))&gt;0</formula>
    </cfRule>
  </conditionalFormatting>
  <conditionalFormatting sqref="D32:H32">
    <cfRule type="cellIs" dxfId="58" priority="36" operator="lessThan">
      <formula>60</formula>
    </cfRule>
  </conditionalFormatting>
  <conditionalFormatting sqref="D37:H37">
    <cfRule type="cellIs" dxfId="57" priority="39" operator="equal">
      <formula>60</formula>
    </cfRule>
    <cfRule type="cellIs" dxfId="56" priority="40" operator="lessThan">
      <formula>60</formula>
    </cfRule>
  </conditionalFormatting>
  <conditionalFormatting sqref="D32:I32">
    <cfRule type="cellIs" dxfId="55" priority="34" operator="equal">
      <formula>60</formula>
    </cfRule>
  </conditionalFormatting>
  <conditionalFormatting sqref="E62">
    <cfRule type="cellIs" dxfId="54" priority="15" operator="greaterThanOrEqual">
      <formula>300</formula>
    </cfRule>
    <cfRule type="cellIs" dxfId="53" priority="16" operator="lessThan">
      <formula>300</formula>
    </cfRule>
  </conditionalFormatting>
  <conditionalFormatting sqref="F62">
    <cfRule type="cellIs" dxfId="52" priority="17" operator="greaterThanOrEqual">
      <formula>270</formula>
    </cfRule>
    <cfRule type="cellIs" dxfId="51" priority="18" operator="lessThan">
      <formula>270</formula>
    </cfRule>
  </conditionalFormatting>
  <conditionalFormatting sqref="F106:G106">
    <cfRule type="notContainsBlanks" dxfId="50" priority="27">
      <formula>LEN(TRIM(F106))&gt;0</formula>
    </cfRule>
  </conditionalFormatting>
  <conditionalFormatting sqref="H62">
    <cfRule type="cellIs" dxfId="49" priority="19" operator="greaterThanOrEqual">
      <formula>339.5</formula>
    </cfRule>
    <cfRule type="cellIs" dxfId="48" priority="20" operator="lessThan">
      <formula>339.5</formula>
    </cfRule>
  </conditionalFormatting>
  <conditionalFormatting sqref="H72">
    <cfRule type="cellIs" dxfId="47" priority="42" operator="equal">
      <formula>"3:00"</formula>
    </cfRule>
  </conditionalFormatting>
  <conditionalFormatting sqref="H106">
    <cfRule type="notContainsBlanks" dxfId="46" priority="29">
      <formula>LEN(TRIM(H106))&gt;0</formula>
    </cfRule>
  </conditionalFormatting>
  <conditionalFormatting sqref="I62">
    <cfRule type="cellIs" dxfId="45" priority="21" operator="greaterThanOrEqual">
      <formula>312</formula>
    </cfRule>
    <cfRule type="cellIs" dxfId="44" priority="22" operator="lessThan">
      <formula>312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1012"/>
  <sheetViews>
    <sheetView tabSelected="1" workbookViewId="0">
      <selection activeCell="H3" sqref="H3"/>
    </sheetView>
  </sheetViews>
  <sheetFormatPr defaultColWidth="12.6640625" defaultRowHeight="15.75" customHeight="1" x14ac:dyDescent="0.25"/>
  <cols>
    <col min="1" max="1" width="27.88671875" customWidth="1"/>
  </cols>
  <sheetData>
    <row r="1" spans="1:23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x14ac:dyDescent="0.25">
      <c r="A3" s="14" t="s">
        <v>103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x14ac:dyDescent="0.25">
      <c r="A4" s="15" t="s">
        <v>104</v>
      </c>
      <c r="B4" s="44" t="s">
        <v>256</v>
      </c>
      <c r="C4" s="44" t="s">
        <v>257</v>
      </c>
      <c r="D4" s="44" t="s">
        <v>98</v>
      </c>
      <c r="E4" s="16" t="s">
        <v>32</v>
      </c>
      <c r="F4" s="16" t="s">
        <v>33</v>
      </c>
      <c r="G4" s="16" t="s">
        <v>34</v>
      </c>
      <c r="H4" s="16" t="s">
        <v>35</v>
      </c>
      <c r="I4" s="16" t="s">
        <v>36</v>
      </c>
      <c r="J4" s="16" t="s">
        <v>37</v>
      </c>
      <c r="K4" s="16" t="s">
        <v>38</v>
      </c>
      <c r="L4" s="16" t="s">
        <v>39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x14ac:dyDescent="0.25">
      <c r="A5" s="17" t="s">
        <v>107</v>
      </c>
      <c r="B5" s="19">
        <v>45</v>
      </c>
      <c r="C5" s="19">
        <v>28</v>
      </c>
      <c r="D5" s="19">
        <v>44</v>
      </c>
      <c r="E5" s="19" t="s">
        <v>187</v>
      </c>
      <c r="F5" s="19">
        <v>24</v>
      </c>
      <c r="G5" s="19">
        <v>30</v>
      </c>
      <c r="H5" s="19">
        <v>34</v>
      </c>
      <c r="I5" s="19">
        <v>34</v>
      </c>
      <c r="J5" s="19">
        <v>54</v>
      </c>
      <c r="K5" s="19">
        <v>40</v>
      </c>
      <c r="L5" s="20">
        <v>25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x14ac:dyDescent="0.25">
      <c r="A6" s="17" t="s">
        <v>108</v>
      </c>
      <c r="B6" s="19" t="s">
        <v>111</v>
      </c>
      <c r="C6" s="19" t="s">
        <v>111</v>
      </c>
      <c r="D6" s="19" t="s">
        <v>111</v>
      </c>
      <c r="E6" s="19" t="s">
        <v>187</v>
      </c>
      <c r="F6" s="19" t="s">
        <v>190</v>
      </c>
      <c r="G6" s="19" t="s">
        <v>111</v>
      </c>
      <c r="H6" s="19" t="s">
        <v>111</v>
      </c>
      <c r="I6" s="19" t="s">
        <v>113</v>
      </c>
      <c r="J6" s="19" t="s">
        <v>113</v>
      </c>
      <c r="K6" s="19" t="s">
        <v>111</v>
      </c>
      <c r="L6" s="20" t="s">
        <v>112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x14ac:dyDescent="0.25">
      <c r="A7" s="17" t="s">
        <v>114</v>
      </c>
      <c r="B7" s="19" t="s">
        <v>113</v>
      </c>
      <c r="C7" s="19" t="s">
        <v>113</v>
      </c>
      <c r="D7" s="19" t="s">
        <v>113</v>
      </c>
      <c r="E7" s="19" t="s">
        <v>187</v>
      </c>
      <c r="F7" s="19">
        <v>5</v>
      </c>
      <c r="G7" s="19" t="s">
        <v>113</v>
      </c>
      <c r="H7" s="19" t="s">
        <v>113</v>
      </c>
      <c r="I7" s="19" t="s">
        <v>113</v>
      </c>
      <c r="J7" s="19" t="s">
        <v>113</v>
      </c>
      <c r="K7" s="19">
        <v>5</v>
      </c>
      <c r="L7" s="20">
        <v>4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spans="1:23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1:23" x14ac:dyDescent="0.25">
      <c r="A9" s="17" t="s">
        <v>115</v>
      </c>
      <c r="B9" s="19">
        <v>48</v>
      </c>
      <c r="C9" s="19">
        <v>41</v>
      </c>
      <c r="D9" s="19">
        <v>51</v>
      </c>
      <c r="E9" s="19" t="s">
        <v>187</v>
      </c>
      <c r="F9" s="19">
        <v>26</v>
      </c>
      <c r="G9" s="19">
        <v>34</v>
      </c>
      <c r="H9" s="19">
        <v>36</v>
      </c>
      <c r="I9" s="19">
        <v>30</v>
      </c>
      <c r="J9" s="19">
        <v>56</v>
      </c>
      <c r="K9" s="19" t="s">
        <v>255</v>
      </c>
      <c r="L9" s="20">
        <v>28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3" x14ac:dyDescent="0.25">
      <c r="A10" s="17" t="s">
        <v>108</v>
      </c>
      <c r="B10" s="19" t="s">
        <v>112</v>
      </c>
      <c r="C10" s="19" t="s">
        <v>111</v>
      </c>
      <c r="D10" s="19" t="s">
        <v>258</v>
      </c>
      <c r="E10" s="19" t="s">
        <v>187</v>
      </c>
      <c r="F10" s="19" t="s">
        <v>190</v>
      </c>
      <c r="G10" s="19" t="s">
        <v>111</v>
      </c>
      <c r="H10" s="19" t="s">
        <v>112</v>
      </c>
      <c r="I10" s="19" t="s">
        <v>193</v>
      </c>
      <c r="J10" s="19" t="s">
        <v>113</v>
      </c>
      <c r="K10" s="19" t="s">
        <v>255</v>
      </c>
      <c r="L10" s="20" t="s">
        <v>112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x14ac:dyDescent="0.25">
      <c r="A11" s="17" t="s">
        <v>114</v>
      </c>
      <c r="B11" s="19" t="s">
        <v>113</v>
      </c>
      <c r="C11" s="19" t="s">
        <v>113</v>
      </c>
      <c r="D11" s="19" t="s">
        <v>113</v>
      </c>
      <c r="E11" s="19" t="s">
        <v>187</v>
      </c>
      <c r="F11" s="19">
        <v>8</v>
      </c>
      <c r="G11" s="19" t="s">
        <v>113</v>
      </c>
      <c r="H11" s="19" t="s">
        <v>113</v>
      </c>
      <c r="I11" s="19">
        <v>1</v>
      </c>
      <c r="J11" s="19" t="s">
        <v>113</v>
      </c>
      <c r="K11" s="19" t="s">
        <v>255</v>
      </c>
      <c r="L11" s="20" t="s">
        <v>113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x14ac:dyDescent="0.25">
      <c r="A13" s="15" t="s">
        <v>121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x14ac:dyDescent="0.25">
      <c r="A14" s="17" t="s">
        <v>107</v>
      </c>
      <c r="B14" s="19">
        <v>42</v>
      </c>
      <c r="C14" s="19">
        <v>24</v>
      </c>
      <c r="D14" s="19">
        <v>46</v>
      </c>
      <c r="E14" s="19">
        <v>54</v>
      </c>
      <c r="F14" s="19">
        <v>29</v>
      </c>
      <c r="G14" s="19">
        <v>29</v>
      </c>
      <c r="H14" s="19">
        <v>34</v>
      </c>
      <c r="I14" s="19">
        <v>33</v>
      </c>
      <c r="J14" s="19">
        <v>54</v>
      </c>
      <c r="K14" s="19">
        <v>42</v>
      </c>
      <c r="L14" s="20">
        <v>31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x14ac:dyDescent="0.25">
      <c r="A15" s="17" t="s">
        <v>108</v>
      </c>
      <c r="B15" s="19" t="s">
        <v>111</v>
      </c>
      <c r="C15" s="19" t="s">
        <v>111</v>
      </c>
      <c r="D15" s="19" t="s">
        <v>111</v>
      </c>
      <c r="E15" s="19" t="s">
        <v>113</v>
      </c>
      <c r="F15" s="19" t="s">
        <v>113</v>
      </c>
      <c r="G15" s="19" t="s">
        <v>111</v>
      </c>
      <c r="H15" s="19" t="s">
        <v>111</v>
      </c>
      <c r="I15" s="19" t="s">
        <v>113</v>
      </c>
      <c r="J15" s="19" t="s">
        <v>113</v>
      </c>
      <c r="K15" s="19" t="s">
        <v>111</v>
      </c>
      <c r="L15" s="20" t="s">
        <v>111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x14ac:dyDescent="0.25">
      <c r="A16" s="17" t="s">
        <v>114</v>
      </c>
      <c r="B16" s="19" t="s">
        <v>113</v>
      </c>
      <c r="C16" s="19" t="s">
        <v>113</v>
      </c>
      <c r="D16" s="19" t="s">
        <v>113</v>
      </c>
      <c r="E16" s="19" t="s">
        <v>113</v>
      </c>
      <c r="F16" s="19" t="s">
        <v>113</v>
      </c>
      <c r="G16" s="19" t="s">
        <v>113</v>
      </c>
      <c r="H16" s="19" t="s">
        <v>113</v>
      </c>
      <c r="I16" s="19" t="s">
        <v>113</v>
      </c>
      <c r="J16" s="19" t="s">
        <v>113</v>
      </c>
      <c r="K16" s="19" t="s">
        <v>113</v>
      </c>
      <c r="L16" s="20" t="s">
        <v>113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1:23" x14ac:dyDescent="0.25">
      <c r="A18" s="17" t="s">
        <v>115</v>
      </c>
      <c r="B18" s="19">
        <v>47</v>
      </c>
      <c r="C18" s="19">
        <v>39</v>
      </c>
      <c r="D18" s="19">
        <v>52</v>
      </c>
      <c r="E18" s="19">
        <v>43</v>
      </c>
      <c r="F18" s="19">
        <v>29</v>
      </c>
      <c r="G18" s="19">
        <v>31</v>
      </c>
      <c r="H18" s="19">
        <v>36</v>
      </c>
      <c r="I18" s="19">
        <v>36</v>
      </c>
      <c r="J18" s="19">
        <v>53</v>
      </c>
      <c r="K18" s="19">
        <v>44</v>
      </c>
      <c r="L18" s="20">
        <v>34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3" x14ac:dyDescent="0.25">
      <c r="A19" s="17" t="s">
        <v>108</v>
      </c>
      <c r="B19" s="19" t="s">
        <v>112</v>
      </c>
      <c r="C19" s="19" t="s">
        <v>111</v>
      </c>
      <c r="D19" s="19" t="s">
        <v>109</v>
      </c>
      <c r="E19" s="19" t="s">
        <v>113</v>
      </c>
      <c r="F19" s="19" t="s">
        <v>113</v>
      </c>
      <c r="G19" s="19" t="s">
        <v>111</v>
      </c>
      <c r="H19" s="19" t="s">
        <v>111</v>
      </c>
      <c r="I19" s="19" t="s">
        <v>113</v>
      </c>
      <c r="J19" s="19" t="s">
        <v>113</v>
      </c>
      <c r="K19" s="19" t="s">
        <v>111</v>
      </c>
      <c r="L19" s="20" t="s">
        <v>111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x14ac:dyDescent="0.25">
      <c r="A20" s="17" t="s">
        <v>114</v>
      </c>
      <c r="B20" s="19" t="s">
        <v>113</v>
      </c>
      <c r="C20" s="19" t="s">
        <v>113</v>
      </c>
      <c r="D20" s="19" t="s">
        <v>113</v>
      </c>
      <c r="E20" s="19" t="s">
        <v>113</v>
      </c>
      <c r="F20" s="19" t="s">
        <v>113</v>
      </c>
      <c r="G20" s="19" t="s">
        <v>113</v>
      </c>
      <c r="H20" s="19" t="s">
        <v>113</v>
      </c>
      <c r="I20" s="19" t="s">
        <v>113</v>
      </c>
      <c r="J20" s="19" t="s">
        <v>113</v>
      </c>
      <c r="K20" s="19" t="s">
        <v>113</v>
      </c>
      <c r="L20" s="20" t="s">
        <v>113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x14ac:dyDescent="0.25">
      <c r="A22" s="15" t="s">
        <v>123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1:23" x14ac:dyDescent="0.25">
      <c r="A23" s="17" t="s">
        <v>124</v>
      </c>
      <c r="B23" s="45">
        <f t="shared" ref="B23:D23" si="0">IF(B5&gt;B14,B5-B14,B14-B5)</f>
        <v>3</v>
      </c>
      <c r="C23" s="45">
        <f t="shared" si="0"/>
        <v>4</v>
      </c>
      <c r="D23" s="45">
        <f t="shared" si="0"/>
        <v>2</v>
      </c>
      <c r="E23" s="45"/>
      <c r="F23" s="45">
        <f t="shared" ref="F23:L23" si="1">IF(F5&gt;F14,F5-F14,F14-F5)</f>
        <v>5</v>
      </c>
      <c r="G23" s="45">
        <f t="shared" si="1"/>
        <v>1</v>
      </c>
      <c r="H23" s="45">
        <f t="shared" si="1"/>
        <v>0</v>
      </c>
      <c r="I23" s="45">
        <f t="shared" si="1"/>
        <v>1</v>
      </c>
      <c r="J23" s="45">
        <f t="shared" si="1"/>
        <v>0</v>
      </c>
      <c r="K23" s="45">
        <f t="shared" si="1"/>
        <v>2</v>
      </c>
      <c r="L23" s="53">
        <f t="shared" si="1"/>
        <v>6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1:23" x14ac:dyDescent="0.25">
      <c r="A24" s="17" t="s">
        <v>125</v>
      </c>
      <c r="B24" s="25">
        <f t="shared" ref="B24:D24" si="2">IF(B9&gt;B18,B9-B18,B18-B9)</f>
        <v>1</v>
      </c>
      <c r="C24" s="25">
        <f t="shared" si="2"/>
        <v>2</v>
      </c>
      <c r="D24" s="25">
        <f t="shared" si="2"/>
        <v>1</v>
      </c>
      <c r="E24" s="25"/>
      <c r="F24" s="25">
        <f t="shared" ref="F24:G24" si="3">IF(F9&gt;F18,F9-F18,F18-F9)</f>
        <v>3</v>
      </c>
      <c r="G24" s="25">
        <f t="shared" si="3"/>
        <v>3</v>
      </c>
      <c r="H24" s="25">
        <v>0</v>
      </c>
      <c r="I24" s="25">
        <f t="shared" ref="I24:J24" si="4">IF(I9&gt;I18,I9-I18,I18-I9)</f>
        <v>6</v>
      </c>
      <c r="J24" s="25">
        <f t="shared" si="4"/>
        <v>3</v>
      </c>
      <c r="K24" s="25"/>
      <c r="L24" s="26">
        <f>IF(L9&gt;L18,L9-L18,L18-L9)</f>
        <v>6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1:23" x14ac:dyDescent="0.25"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x14ac:dyDescent="0.25"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x14ac:dyDescent="0.25"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spans="1:23" x14ac:dyDescent="0.25"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spans="1:23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spans="1:23" x14ac:dyDescent="0.25">
      <c r="A30" s="14" t="s">
        <v>126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x14ac:dyDescent="0.25">
      <c r="A31" s="15" t="s">
        <v>104</v>
      </c>
      <c r="B31" s="44" t="s">
        <v>256</v>
      </c>
      <c r="C31" s="44" t="s">
        <v>257</v>
      </c>
      <c r="D31" s="44" t="s">
        <v>98</v>
      </c>
      <c r="E31" s="16" t="s">
        <v>32</v>
      </c>
      <c r="F31" s="16" t="s">
        <v>33</v>
      </c>
      <c r="G31" s="16" t="s">
        <v>34</v>
      </c>
      <c r="H31" s="16" t="s">
        <v>35</v>
      </c>
      <c r="I31" s="16" t="s">
        <v>36</v>
      </c>
      <c r="J31" s="16" t="s">
        <v>37</v>
      </c>
      <c r="K31" s="16" t="s">
        <v>38</v>
      </c>
      <c r="L31" s="16" t="s">
        <v>39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spans="1:23" x14ac:dyDescent="0.25">
      <c r="A32" s="17" t="s">
        <v>127</v>
      </c>
      <c r="B32" s="19">
        <v>35</v>
      </c>
      <c r="C32" s="19">
        <v>30</v>
      </c>
      <c r="D32" s="66">
        <v>60</v>
      </c>
      <c r="E32" s="19" t="s">
        <v>234</v>
      </c>
      <c r="F32" s="19">
        <v>25</v>
      </c>
      <c r="G32" s="19">
        <v>22</v>
      </c>
      <c r="H32" s="19">
        <v>60</v>
      </c>
      <c r="I32" s="19">
        <v>60</v>
      </c>
      <c r="J32" s="19">
        <v>35</v>
      </c>
      <c r="K32" s="19" t="s">
        <v>234</v>
      </c>
      <c r="L32" s="19">
        <v>30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spans="1:23" x14ac:dyDescent="0.25">
      <c r="A33" s="28" t="s">
        <v>128</v>
      </c>
      <c r="B33" s="19" t="s">
        <v>132</v>
      </c>
      <c r="C33" s="19" t="s">
        <v>132</v>
      </c>
      <c r="D33" s="66" t="s">
        <v>129</v>
      </c>
      <c r="E33" s="19" t="s">
        <v>234</v>
      </c>
      <c r="F33" s="19" t="s">
        <v>259</v>
      </c>
      <c r="G33" s="19" t="s">
        <v>132</v>
      </c>
      <c r="H33" s="19" t="s">
        <v>129</v>
      </c>
      <c r="I33" s="19" t="s">
        <v>129</v>
      </c>
      <c r="J33" s="19" t="s">
        <v>260</v>
      </c>
      <c r="K33" s="19" t="s">
        <v>234</v>
      </c>
      <c r="L33" s="19" t="s">
        <v>132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spans="1:23" x14ac:dyDescent="0.25">
      <c r="A34" s="28" t="s">
        <v>135</v>
      </c>
      <c r="B34" s="19" t="s">
        <v>113</v>
      </c>
      <c r="C34" s="19" t="s">
        <v>113</v>
      </c>
      <c r="D34" s="66" t="s">
        <v>113</v>
      </c>
      <c r="E34" s="19" t="s">
        <v>234</v>
      </c>
      <c r="F34" s="19">
        <v>3</v>
      </c>
      <c r="G34" s="19" t="s">
        <v>113</v>
      </c>
      <c r="H34" s="19" t="s">
        <v>113</v>
      </c>
      <c r="I34" s="19" t="s">
        <v>113</v>
      </c>
      <c r="J34" s="19">
        <v>2</v>
      </c>
      <c r="K34" s="19" t="s">
        <v>234</v>
      </c>
      <c r="L34" s="19" t="s">
        <v>113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spans="1:23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spans="1:23" x14ac:dyDescent="0.25">
      <c r="A36" s="15" t="s">
        <v>121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spans="1:23" x14ac:dyDescent="0.25">
      <c r="A37" s="17" t="s">
        <v>127</v>
      </c>
      <c r="B37" s="19">
        <v>30</v>
      </c>
      <c r="C37" s="19">
        <v>30</v>
      </c>
      <c r="D37" s="67">
        <v>60</v>
      </c>
      <c r="E37" s="19" t="s">
        <v>234</v>
      </c>
      <c r="F37" s="19">
        <v>30</v>
      </c>
      <c r="G37" s="19">
        <v>30</v>
      </c>
      <c r="H37" s="19">
        <v>60</v>
      </c>
      <c r="I37" s="19">
        <v>60</v>
      </c>
      <c r="J37" s="19">
        <v>36</v>
      </c>
      <c r="K37" s="19" t="s">
        <v>234</v>
      </c>
      <c r="L37" s="19">
        <v>40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spans="1:23" x14ac:dyDescent="0.25">
      <c r="A38" s="28" t="s">
        <v>136</v>
      </c>
      <c r="B38" s="19" t="s">
        <v>261</v>
      </c>
      <c r="C38" s="19" t="s">
        <v>132</v>
      </c>
      <c r="D38" s="67" t="s">
        <v>129</v>
      </c>
      <c r="E38" s="19" t="s">
        <v>234</v>
      </c>
      <c r="F38" s="19" t="s">
        <v>132</v>
      </c>
      <c r="G38" s="19" t="s">
        <v>132</v>
      </c>
      <c r="H38" s="19" t="s">
        <v>129</v>
      </c>
      <c r="I38" s="19" t="s">
        <v>129</v>
      </c>
      <c r="J38" s="19" t="s">
        <v>132</v>
      </c>
      <c r="K38" s="19" t="s">
        <v>234</v>
      </c>
      <c r="L38" s="19" t="s">
        <v>132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spans="1:23" x14ac:dyDescent="0.25">
      <c r="A39" s="28" t="s">
        <v>135</v>
      </c>
      <c r="B39" s="19">
        <v>2</v>
      </c>
      <c r="C39" s="19" t="s">
        <v>113</v>
      </c>
      <c r="D39" s="67" t="s">
        <v>113</v>
      </c>
      <c r="E39" s="19" t="s">
        <v>234</v>
      </c>
      <c r="F39" s="19" t="s">
        <v>113</v>
      </c>
      <c r="G39" s="19" t="s">
        <v>113</v>
      </c>
      <c r="H39" s="19" t="s">
        <v>113</v>
      </c>
      <c r="I39" s="19" t="s">
        <v>113</v>
      </c>
      <c r="J39" s="19">
        <v>0</v>
      </c>
      <c r="K39" s="19" t="s">
        <v>234</v>
      </c>
      <c r="L39" s="19" t="s">
        <v>113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spans="1:23" x14ac:dyDescent="0.25">
      <c r="A40" s="13" t="s">
        <v>213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spans="1:23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spans="1:23" x14ac:dyDescent="0.25">
      <c r="A42" s="15" t="s">
        <v>123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spans="1:23" x14ac:dyDescent="0.25">
      <c r="A43" s="17" t="s">
        <v>140</v>
      </c>
      <c r="B43" s="22">
        <f t="shared" ref="B43:L43" si="5">IF(B32&gt;B37,B32-B37,B37-B32)</f>
        <v>5</v>
      </c>
      <c r="C43" s="22">
        <f t="shared" si="5"/>
        <v>0</v>
      </c>
      <c r="D43" s="22">
        <f t="shared" si="5"/>
        <v>0</v>
      </c>
      <c r="E43" s="22" t="e">
        <f t="shared" si="5"/>
        <v>#VALUE!</v>
      </c>
      <c r="F43" s="22">
        <f t="shared" si="5"/>
        <v>5</v>
      </c>
      <c r="G43" s="22">
        <f t="shared" si="5"/>
        <v>8</v>
      </c>
      <c r="H43" s="22">
        <f t="shared" si="5"/>
        <v>0</v>
      </c>
      <c r="I43" s="22">
        <f t="shared" si="5"/>
        <v>0</v>
      </c>
      <c r="J43" s="22">
        <f t="shared" si="5"/>
        <v>1</v>
      </c>
      <c r="K43" s="22" t="e">
        <f t="shared" si="5"/>
        <v>#VALUE!</v>
      </c>
      <c r="L43" s="22">
        <f t="shared" si="5"/>
        <v>10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spans="1:23" x14ac:dyDescent="0.25">
      <c r="A44" s="17" t="s">
        <v>141</v>
      </c>
      <c r="B44" s="29">
        <f t="shared" ref="B44:L44" si="6">IF(B32&lt;B37,B32/B37,B37/B32)</f>
        <v>0.8571428571428571</v>
      </c>
      <c r="C44" s="29">
        <f t="shared" si="6"/>
        <v>1</v>
      </c>
      <c r="D44" s="29">
        <f t="shared" si="6"/>
        <v>1</v>
      </c>
      <c r="E44" s="29" t="e">
        <f t="shared" si="6"/>
        <v>#VALUE!</v>
      </c>
      <c r="F44" s="29">
        <f t="shared" si="6"/>
        <v>0.83333333333333337</v>
      </c>
      <c r="G44" s="29">
        <f t="shared" si="6"/>
        <v>0.73333333333333328</v>
      </c>
      <c r="H44" s="29">
        <f t="shared" si="6"/>
        <v>1</v>
      </c>
      <c r="I44" s="29">
        <f t="shared" si="6"/>
        <v>1</v>
      </c>
      <c r="J44" s="29">
        <f t="shared" si="6"/>
        <v>0.97222222222222221</v>
      </c>
      <c r="K44" s="29" t="e">
        <f t="shared" si="6"/>
        <v>#VALUE!</v>
      </c>
      <c r="L44" s="29">
        <f t="shared" si="6"/>
        <v>0.75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spans="1:23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spans="1:23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spans="1:23" x14ac:dyDescent="0.25">
      <c r="A47" s="14" t="s">
        <v>142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spans="1:23" x14ac:dyDescent="0.25">
      <c r="A48" s="30" t="s">
        <v>104</v>
      </c>
      <c r="B48" s="44" t="s">
        <v>256</v>
      </c>
      <c r="C48" s="44" t="s">
        <v>257</v>
      </c>
      <c r="D48" s="44" t="s">
        <v>98</v>
      </c>
      <c r="E48" s="16" t="s">
        <v>32</v>
      </c>
      <c r="F48" s="16" t="s">
        <v>33</v>
      </c>
      <c r="G48" s="16" t="s">
        <v>34</v>
      </c>
      <c r="H48" s="16" t="s">
        <v>35</v>
      </c>
      <c r="I48" s="16" t="s">
        <v>36</v>
      </c>
      <c r="J48" s="16" t="s">
        <v>37</v>
      </c>
      <c r="K48" s="16" t="s">
        <v>38</v>
      </c>
      <c r="L48" s="16" t="s">
        <v>39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spans="1:23" x14ac:dyDescent="0.25">
      <c r="A49" s="31" t="s">
        <v>143</v>
      </c>
      <c r="B49" s="20">
        <v>121</v>
      </c>
      <c r="C49" s="20">
        <v>135</v>
      </c>
      <c r="D49" s="20">
        <v>116</v>
      </c>
      <c r="E49" s="20">
        <v>107</v>
      </c>
      <c r="F49" s="20">
        <v>117</v>
      </c>
      <c r="G49" s="20">
        <v>115</v>
      </c>
      <c r="H49" s="20">
        <v>101</v>
      </c>
      <c r="I49" s="20">
        <v>109</v>
      </c>
      <c r="J49" s="20">
        <v>115</v>
      </c>
      <c r="K49" s="20">
        <v>116</v>
      </c>
      <c r="L49" s="20">
        <v>115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spans="1:23" x14ac:dyDescent="0.25">
      <c r="A50" s="31" t="s">
        <v>145</v>
      </c>
      <c r="B50" s="20">
        <v>83</v>
      </c>
      <c r="C50" s="20">
        <v>68</v>
      </c>
      <c r="D50" s="20">
        <v>81</v>
      </c>
      <c r="E50" s="20">
        <v>70</v>
      </c>
      <c r="F50" s="20">
        <v>58</v>
      </c>
      <c r="G50" s="20">
        <v>68</v>
      </c>
      <c r="H50" s="20">
        <v>67</v>
      </c>
      <c r="I50" s="20">
        <v>80</v>
      </c>
      <c r="J50" s="20">
        <v>67</v>
      </c>
      <c r="K50" s="20">
        <v>63</v>
      </c>
      <c r="L50" s="20">
        <v>55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spans="1:23" x14ac:dyDescent="0.25">
      <c r="A51" s="31" t="s">
        <v>114</v>
      </c>
      <c r="B51" s="20" t="s">
        <v>158</v>
      </c>
      <c r="C51" s="20" t="s">
        <v>158</v>
      </c>
      <c r="D51" s="20" t="s">
        <v>158</v>
      </c>
      <c r="E51" s="20" t="s">
        <v>158</v>
      </c>
      <c r="F51" s="20" t="s">
        <v>158</v>
      </c>
      <c r="G51" s="20" t="s">
        <v>158</v>
      </c>
      <c r="H51" s="20" t="s">
        <v>158</v>
      </c>
      <c r="I51" s="20" t="s">
        <v>158</v>
      </c>
      <c r="J51" s="20" t="s">
        <v>158</v>
      </c>
      <c r="K51" s="20" t="s">
        <v>158</v>
      </c>
      <c r="L51" s="20" t="s">
        <v>146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spans="1:23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spans="1:23" x14ac:dyDescent="0.25">
      <c r="A53" s="30" t="s">
        <v>121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spans="1:23" x14ac:dyDescent="0.25">
      <c r="A54" s="31" t="s">
        <v>143</v>
      </c>
      <c r="B54" s="20">
        <v>108</v>
      </c>
      <c r="C54" s="20">
        <v>127</v>
      </c>
      <c r="D54" s="20">
        <v>103</v>
      </c>
      <c r="E54" s="20">
        <v>109</v>
      </c>
      <c r="F54" s="20">
        <v>110</v>
      </c>
      <c r="G54" s="20">
        <v>106</v>
      </c>
      <c r="H54" s="20">
        <v>110</v>
      </c>
      <c r="I54" s="20">
        <v>101</v>
      </c>
      <c r="J54" s="20">
        <v>108</v>
      </c>
      <c r="K54" s="20">
        <v>105</v>
      </c>
      <c r="L54" s="20">
        <v>111</v>
      </c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spans="1:23" x14ac:dyDescent="0.25">
      <c r="A55" s="31" t="s">
        <v>145</v>
      </c>
      <c r="B55" s="20">
        <v>82</v>
      </c>
      <c r="C55" s="20">
        <v>80</v>
      </c>
      <c r="D55" s="20">
        <v>87</v>
      </c>
      <c r="E55" s="20">
        <v>69</v>
      </c>
      <c r="F55" s="20">
        <v>64</v>
      </c>
      <c r="G55" s="20">
        <v>77</v>
      </c>
      <c r="H55" s="20">
        <v>64</v>
      </c>
      <c r="I55" s="20">
        <v>74</v>
      </c>
      <c r="J55" s="20">
        <v>70</v>
      </c>
      <c r="K55" s="20">
        <v>70</v>
      </c>
      <c r="L55" s="20">
        <v>50</v>
      </c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spans="1:23" x14ac:dyDescent="0.25">
      <c r="A56" s="31" t="s">
        <v>114</v>
      </c>
      <c r="B56" s="20" t="s">
        <v>158</v>
      </c>
      <c r="C56" s="20" t="s">
        <v>158</v>
      </c>
      <c r="D56" s="20" t="s">
        <v>158</v>
      </c>
      <c r="E56" s="20" t="s">
        <v>158</v>
      </c>
      <c r="F56" s="20" t="s">
        <v>158</v>
      </c>
      <c r="G56" s="20" t="s">
        <v>158</v>
      </c>
      <c r="H56" s="20" t="s">
        <v>199</v>
      </c>
      <c r="I56" s="20" t="s">
        <v>158</v>
      </c>
      <c r="J56" s="20" t="s">
        <v>158</v>
      </c>
      <c r="K56" s="20" t="s">
        <v>158</v>
      </c>
      <c r="L56" s="20" t="s">
        <v>146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spans="1:23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spans="1:23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spans="1:23" x14ac:dyDescent="0.25">
      <c r="A59" s="14" t="s">
        <v>149</v>
      </c>
      <c r="B59" s="44" t="s">
        <v>256</v>
      </c>
      <c r="C59" s="44" t="s">
        <v>257</v>
      </c>
      <c r="D59" s="44" t="s">
        <v>98</v>
      </c>
      <c r="E59" s="16" t="s">
        <v>32</v>
      </c>
      <c r="F59" s="16" t="s">
        <v>33</v>
      </c>
      <c r="G59" s="16" t="s">
        <v>34</v>
      </c>
      <c r="H59" s="16" t="s">
        <v>35</v>
      </c>
      <c r="I59" s="16" t="s">
        <v>36</v>
      </c>
      <c r="J59" s="16" t="s">
        <v>37</v>
      </c>
      <c r="K59" s="16" t="s">
        <v>38</v>
      </c>
      <c r="L59" s="16" t="s">
        <v>39</v>
      </c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spans="1:23" x14ac:dyDescent="0.25">
      <c r="A60" s="17" t="s">
        <v>150</v>
      </c>
      <c r="B60" s="19">
        <v>203.9</v>
      </c>
      <c r="C60" s="19">
        <v>172.1</v>
      </c>
      <c r="D60" s="19">
        <v>312.5</v>
      </c>
      <c r="E60" s="18" t="s">
        <v>252</v>
      </c>
      <c r="F60" s="19">
        <v>215.8</v>
      </c>
      <c r="G60" s="19">
        <v>281.8</v>
      </c>
      <c r="H60" s="19">
        <v>190</v>
      </c>
      <c r="I60" s="19">
        <v>251.3</v>
      </c>
      <c r="J60" s="19">
        <v>161.1</v>
      </c>
      <c r="K60" s="19">
        <v>182.7</v>
      </c>
      <c r="L60" s="19">
        <v>343.5</v>
      </c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spans="1:23" x14ac:dyDescent="0.25">
      <c r="A61" s="17" t="s">
        <v>114</v>
      </c>
      <c r="B61" s="19">
        <v>0</v>
      </c>
      <c r="C61" s="19">
        <v>2</v>
      </c>
      <c r="D61" s="19">
        <v>0</v>
      </c>
      <c r="E61" s="18" t="s">
        <v>252</v>
      </c>
      <c r="F61" s="19">
        <v>0</v>
      </c>
      <c r="G61" s="19">
        <v>0</v>
      </c>
      <c r="H61" s="19">
        <v>4</v>
      </c>
      <c r="I61" s="19">
        <v>0</v>
      </c>
      <c r="J61" s="19">
        <v>0</v>
      </c>
      <c r="K61" s="19">
        <v>3</v>
      </c>
      <c r="L61" s="19">
        <v>6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spans="1:23" x14ac:dyDescent="0.25">
      <c r="A62" s="20" t="s">
        <v>151</v>
      </c>
      <c r="B62" s="20">
        <v>85.4</v>
      </c>
      <c r="C62" s="20"/>
      <c r="D62" s="20">
        <v>153.80000000000001</v>
      </c>
      <c r="E62" s="32"/>
      <c r="F62" s="20">
        <v>122</v>
      </c>
      <c r="G62" s="20">
        <v>132</v>
      </c>
      <c r="H62" s="20"/>
      <c r="I62" s="20">
        <v>112</v>
      </c>
      <c r="J62" s="20">
        <v>96</v>
      </c>
      <c r="K62" s="20">
        <v>116</v>
      </c>
      <c r="L62" s="20">
        <v>187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spans="1:23" x14ac:dyDescent="0.25">
      <c r="A63" s="20" t="s">
        <v>152</v>
      </c>
      <c r="B63" s="20">
        <f t="shared" ref="B63:D63" si="7">2.5*B62</f>
        <v>213.5</v>
      </c>
      <c r="C63" s="20">
        <f t="shared" si="7"/>
        <v>0</v>
      </c>
      <c r="D63" s="20">
        <f t="shared" si="7"/>
        <v>384.5</v>
      </c>
      <c r="E63" s="32"/>
      <c r="F63" s="20">
        <f t="shared" ref="F63:L63" si="8">2.5*F62</f>
        <v>305</v>
      </c>
      <c r="G63" s="20">
        <f t="shared" si="8"/>
        <v>330</v>
      </c>
      <c r="H63" s="20">
        <f t="shared" si="8"/>
        <v>0</v>
      </c>
      <c r="I63" s="20">
        <f t="shared" si="8"/>
        <v>280</v>
      </c>
      <c r="J63" s="20">
        <f t="shared" si="8"/>
        <v>240</v>
      </c>
      <c r="K63" s="20">
        <f t="shared" si="8"/>
        <v>290</v>
      </c>
      <c r="L63" s="20">
        <f t="shared" si="8"/>
        <v>467.5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spans="1:23" x14ac:dyDescent="0.25">
      <c r="A64" s="20" t="s">
        <v>153</v>
      </c>
      <c r="B64" s="34">
        <f>1-((B63-B60)/B63)</f>
        <v>0.95503512880562069</v>
      </c>
      <c r="C64" s="34"/>
      <c r="D64" s="34">
        <f>1-((D63-D60)/D63)</f>
        <v>0.81274382314694404</v>
      </c>
      <c r="E64" s="32"/>
      <c r="F64" s="34">
        <f t="shared" ref="F64:G64" si="9">1-((F63-F60)/F63)</f>
        <v>0.70754098360655737</v>
      </c>
      <c r="G64" s="34">
        <f t="shared" si="9"/>
        <v>0.853939393939394</v>
      </c>
      <c r="H64" s="20"/>
      <c r="I64" s="34">
        <f t="shared" ref="I64:L64" si="10">1-((I63-I60)/I63)</f>
        <v>0.89750000000000008</v>
      </c>
      <c r="J64" s="34">
        <f t="shared" si="10"/>
        <v>0.6712499999999999</v>
      </c>
      <c r="K64" s="34">
        <f t="shared" si="10"/>
        <v>0.62999999999999989</v>
      </c>
      <c r="L64" s="34">
        <f t="shared" si="10"/>
        <v>0.73475935828877004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spans="1:23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spans="1:23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spans="1:23" x14ac:dyDescent="0.25">
      <c r="A67" s="14" t="s">
        <v>154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spans="1:23" x14ac:dyDescent="0.25">
      <c r="A68" s="15" t="s">
        <v>155</v>
      </c>
      <c r="B68" s="44" t="s">
        <v>256</v>
      </c>
      <c r="C68" s="44" t="s">
        <v>257</v>
      </c>
      <c r="D68" s="44" t="s">
        <v>98</v>
      </c>
      <c r="E68" s="16" t="s">
        <v>32</v>
      </c>
      <c r="F68" s="16" t="s">
        <v>33</v>
      </c>
      <c r="G68" s="16" t="s">
        <v>34</v>
      </c>
      <c r="H68" s="16" t="s">
        <v>35</v>
      </c>
      <c r="I68" s="16" t="s">
        <v>36</v>
      </c>
      <c r="J68" s="16" t="s">
        <v>37</v>
      </c>
      <c r="K68" s="16" t="s">
        <v>38</v>
      </c>
      <c r="L68" s="16" t="s">
        <v>39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spans="1:23" x14ac:dyDescent="0.25">
      <c r="A69" s="17" t="s">
        <v>156</v>
      </c>
      <c r="B69" s="19" t="s">
        <v>158</v>
      </c>
      <c r="C69" s="19" t="s">
        <v>157</v>
      </c>
      <c r="D69" s="19" t="s">
        <v>158</v>
      </c>
      <c r="E69" s="19" t="s">
        <v>262</v>
      </c>
      <c r="F69" s="19" t="s">
        <v>157</v>
      </c>
      <c r="G69" s="19" t="s">
        <v>157</v>
      </c>
      <c r="H69" s="19" t="s">
        <v>157</v>
      </c>
      <c r="I69" s="19" t="s">
        <v>157</v>
      </c>
      <c r="J69" s="19" t="s">
        <v>157</v>
      </c>
      <c r="K69" s="19" t="s">
        <v>157</v>
      </c>
      <c r="L69" s="19" t="s">
        <v>157</v>
      </c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spans="1:23" x14ac:dyDescent="0.25">
      <c r="A70" s="17" t="s">
        <v>159</v>
      </c>
      <c r="B70" s="37">
        <v>0.125</v>
      </c>
      <c r="C70" s="37">
        <v>0.125</v>
      </c>
      <c r="D70" s="37">
        <v>0.125</v>
      </c>
      <c r="E70" s="37">
        <v>0.125</v>
      </c>
      <c r="F70" s="37">
        <v>9.375E-2</v>
      </c>
      <c r="G70" s="37">
        <v>6.25E-2</v>
      </c>
      <c r="H70" s="37">
        <v>0.125</v>
      </c>
      <c r="I70" s="37">
        <v>0.125</v>
      </c>
      <c r="J70" s="37">
        <v>7.7083333333333337E-2</v>
      </c>
      <c r="K70" s="37">
        <v>8.1250000000000003E-2</v>
      </c>
      <c r="L70" s="37">
        <v>6.3888888888888884E-2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spans="1:23" x14ac:dyDescent="0.25">
      <c r="A71" s="17" t="s">
        <v>128</v>
      </c>
      <c r="B71" s="19" t="s">
        <v>160</v>
      </c>
      <c r="C71" s="19" t="s">
        <v>160</v>
      </c>
      <c r="D71" s="19" t="s">
        <v>160</v>
      </c>
      <c r="E71" s="19" t="s">
        <v>160</v>
      </c>
      <c r="F71" s="19" t="s">
        <v>132</v>
      </c>
      <c r="G71" s="19" t="s">
        <v>132</v>
      </c>
      <c r="H71" s="19" t="s">
        <v>160</v>
      </c>
      <c r="I71" s="19" t="s">
        <v>160</v>
      </c>
      <c r="J71" s="19" t="s">
        <v>132</v>
      </c>
      <c r="K71" s="19" t="s">
        <v>132</v>
      </c>
      <c r="L71" s="19" t="s">
        <v>132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spans="1:23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spans="1:23" x14ac:dyDescent="0.25">
      <c r="A73" s="15" t="s">
        <v>162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spans="1:23" x14ac:dyDescent="0.25">
      <c r="A74" s="17" t="s">
        <v>156</v>
      </c>
      <c r="B74" s="19" t="s">
        <v>157</v>
      </c>
      <c r="C74" s="19" t="s">
        <v>157</v>
      </c>
      <c r="D74" s="19" t="s">
        <v>157</v>
      </c>
      <c r="E74" s="19" t="s">
        <v>239</v>
      </c>
      <c r="F74" s="20" t="s">
        <v>157</v>
      </c>
      <c r="G74" s="19" t="s">
        <v>157</v>
      </c>
      <c r="H74" s="19" t="s">
        <v>157</v>
      </c>
      <c r="I74" s="19" t="s">
        <v>157</v>
      </c>
      <c r="J74" s="19" t="s">
        <v>157</v>
      </c>
      <c r="K74" s="19" t="s">
        <v>157</v>
      </c>
      <c r="L74" s="19" t="s">
        <v>157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spans="1:23" x14ac:dyDescent="0.25">
      <c r="A75" s="17" t="s">
        <v>159</v>
      </c>
      <c r="B75" s="37">
        <v>8.3333333333333329E-2</v>
      </c>
      <c r="C75" s="37">
        <v>3.9583333333333331E-2</v>
      </c>
      <c r="D75" s="37">
        <v>8.3333333333333329E-2</v>
      </c>
      <c r="E75" s="37">
        <v>3.9583333333333331E-2</v>
      </c>
      <c r="F75" s="60">
        <v>0.05</v>
      </c>
      <c r="G75" s="37">
        <v>4.4444444444444446E-2</v>
      </c>
      <c r="H75" s="37">
        <v>4.5138888888888888E-2</v>
      </c>
      <c r="I75" s="37">
        <v>8.3333333333333329E-2</v>
      </c>
      <c r="J75" s="37">
        <v>5.1388888888888887E-2</v>
      </c>
      <c r="K75" s="37">
        <v>5.0694444444444445E-2</v>
      </c>
      <c r="L75" s="37">
        <v>4.3055555555555555E-2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spans="1:23" x14ac:dyDescent="0.25">
      <c r="A76" s="17" t="s">
        <v>128</v>
      </c>
      <c r="B76" s="19" t="s">
        <v>160</v>
      </c>
      <c r="C76" s="68" t="s">
        <v>243</v>
      </c>
      <c r="D76" s="19" t="s">
        <v>160</v>
      </c>
      <c r="E76" s="19" t="s">
        <v>132</v>
      </c>
      <c r="F76" s="20" t="s">
        <v>132</v>
      </c>
      <c r="G76" s="19" t="s">
        <v>222</v>
      </c>
      <c r="H76" s="19" t="s">
        <v>132</v>
      </c>
      <c r="I76" s="19" t="s">
        <v>160</v>
      </c>
      <c r="J76" s="19" t="s">
        <v>132</v>
      </c>
      <c r="K76" s="19" t="s">
        <v>132</v>
      </c>
      <c r="L76" s="19" t="s">
        <v>132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spans="1:23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spans="1:23" x14ac:dyDescent="0.25">
      <c r="A78" s="15" t="s">
        <v>165</v>
      </c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spans="1:23" x14ac:dyDescent="0.25">
      <c r="A79" s="17" t="s">
        <v>156</v>
      </c>
      <c r="B79" s="19" t="s">
        <v>157</v>
      </c>
      <c r="C79" s="19" t="s">
        <v>157</v>
      </c>
      <c r="D79" s="19" t="s">
        <v>157</v>
      </c>
      <c r="E79" s="19" t="s">
        <v>239</v>
      </c>
      <c r="F79" s="20" t="s">
        <v>157</v>
      </c>
      <c r="G79" s="19" t="s">
        <v>157</v>
      </c>
      <c r="H79" s="19" t="s">
        <v>157</v>
      </c>
      <c r="I79" s="19" t="s">
        <v>157</v>
      </c>
      <c r="J79" s="19" t="s">
        <v>157</v>
      </c>
      <c r="K79" s="19" t="s">
        <v>157</v>
      </c>
      <c r="L79" s="19" t="s">
        <v>157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spans="1:23" x14ac:dyDescent="0.25">
      <c r="A80" s="17" t="s">
        <v>159</v>
      </c>
      <c r="B80" s="37">
        <v>8.3333333333333329E-2</v>
      </c>
      <c r="C80" s="37">
        <v>5.0694444444444445E-2</v>
      </c>
      <c r="D80" s="37">
        <v>8.3333333333333329E-2</v>
      </c>
      <c r="E80" s="37">
        <v>5.0694444444444445E-2</v>
      </c>
      <c r="F80" s="60">
        <v>5.486111111111111E-2</v>
      </c>
      <c r="G80" s="37">
        <v>4.7222222222222221E-2</v>
      </c>
      <c r="H80" s="37">
        <v>4.1666666666666664E-2</v>
      </c>
      <c r="I80" s="37">
        <v>8.3333333333333329E-2</v>
      </c>
      <c r="J80" s="37">
        <v>6.7361111111111108E-2</v>
      </c>
      <c r="K80" s="37">
        <v>7.0833333333333331E-2</v>
      </c>
      <c r="L80" s="37">
        <v>5.2777777777777778E-2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spans="1:23" x14ac:dyDescent="0.25">
      <c r="A81" s="17" t="s">
        <v>128</v>
      </c>
      <c r="B81" s="19" t="s">
        <v>160</v>
      </c>
      <c r="C81" s="19" t="s">
        <v>132</v>
      </c>
      <c r="D81" s="19" t="s">
        <v>160</v>
      </c>
      <c r="E81" s="19" t="s">
        <v>132</v>
      </c>
      <c r="F81" s="20" t="s">
        <v>132</v>
      </c>
      <c r="G81" s="19" t="s">
        <v>263</v>
      </c>
      <c r="H81" s="19" t="s">
        <v>132</v>
      </c>
      <c r="I81" s="19" t="s">
        <v>160</v>
      </c>
      <c r="J81" s="19" t="s">
        <v>132</v>
      </c>
      <c r="K81" s="19" t="s">
        <v>132</v>
      </c>
      <c r="L81" s="19" t="s">
        <v>132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spans="1:23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spans="1:23" x14ac:dyDescent="0.25">
      <c r="A83" s="15" t="s">
        <v>166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spans="1:23" x14ac:dyDescent="0.25">
      <c r="A84" s="17" t="s">
        <v>156</v>
      </c>
      <c r="B84" s="19" t="s">
        <v>158</v>
      </c>
      <c r="C84" s="19" t="s">
        <v>158</v>
      </c>
      <c r="D84" s="19" t="s">
        <v>158</v>
      </c>
      <c r="E84" s="18"/>
      <c r="F84" s="19" t="s">
        <v>158</v>
      </c>
      <c r="G84" s="19" t="s">
        <v>157</v>
      </c>
      <c r="H84" s="19" t="s">
        <v>158</v>
      </c>
      <c r="I84" s="19" t="s">
        <v>158</v>
      </c>
      <c r="J84" s="19" t="s">
        <v>157</v>
      </c>
      <c r="K84" s="67" t="s">
        <v>157</v>
      </c>
      <c r="L84" s="19" t="s">
        <v>158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spans="1:23" x14ac:dyDescent="0.25">
      <c r="A85" s="17" t="s">
        <v>159</v>
      </c>
      <c r="B85" s="37"/>
      <c r="C85" s="37">
        <v>0.12847222222222221</v>
      </c>
      <c r="D85" s="37">
        <v>9.0972222222222218E-2</v>
      </c>
      <c r="E85" s="18"/>
      <c r="F85" s="37">
        <v>0.12152777777777778</v>
      </c>
      <c r="G85" s="37">
        <v>6.5277777777777782E-2</v>
      </c>
      <c r="H85" s="37">
        <v>9.583333333333334E-2</v>
      </c>
      <c r="I85" s="37">
        <v>0.10277777777777777</v>
      </c>
      <c r="J85" s="37">
        <v>9.166666666666666E-2</v>
      </c>
      <c r="K85" s="69">
        <v>1.3888888888888888E-2</v>
      </c>
      <c r="L85" s="37">
        <v>7.6388888888888895E-2</v>
      </c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spans="1:23" x14ac:dyDescent="0.25">
      <c r="A86" s="17" t="s">
        <v>128</v>
      </c>
      <c r="B86" s="19"/>
      <c r="C86" s="19" t="s">
        <v>200</v>
      </c>
      <c r="D86" s="19" t="s">
        <v>167</v>
      </c>
      <c r="E86" s="18"/>
      <c r="F86" s="19" t="s">
        <v>263</v>
      </c>
      <c r="G86" s="19" t="s">
        <v>263</v>
      </c>
      <c r="H86" s="19" t="s">
        <v>201</v>
      </c>
      <c r="I86" s="19" t="s">
        <v>201</v>
      </c>
      <c r="J86" s="19" t="s">
        <v>132</v>
      </c>
      <c r="K86" s="67" t="s">
        <v>263</v>
      </c>
      <c r="L86" s="19" t="s">
        <v>167</v>
      </c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spans="1:23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spans="1:23" x14ac:dyDescent="0.25">
      <c r="A88" s="15" t="s">
        <v>169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spans="1:23" x14ac:dyDescent="0.25">
      <c r="A89" s="17" t="s">
        <v>170</v>
      </c>
      <c r="B89" s="40"/>
      <c r="C89" s="40">
        <f t="shared" ref="C89:D89" si="11">C70/C85</f>
        <v>0.97297297297297303</v>
      </c>
      <c r="D89" s="40">
        <f t="shared" si="11"/>
        <v>1.3740458015267176</v>
      </c>
      <c r="E89" s="40"/>
      <c r="F89" s="40">
        <f t="shared" ref="F89:L89" si="12">F70/F85</f>
        <v>0.77142857142857146</v>
      </c>
      <c r="G89" s="40">
        <f t="shared" si="12"/>
        <v>0.95744680851063824</v>
      </c>
      <c r="H89" s="40">
        <f t="shared" si="12"/>
        <v>1.3043478260869565</v>
      </c>
      <c r="I89" s="40">
        <f t="shared" si="12"/>
        <v>1.2162162162162162</v>
      </c>
      <c r="J89" s="40">
        <f t="shared" si="12"/>
        <v>0.84090909090909105</v>
      </c>
      <c r="K89" s="40">
        <f t="shared" si="12"/>
        <v>5.8500000000000005</v>
      </c>
      <c r="L89" s="40">
        <f t="shared" si="12"/>
        <v>0.8363636363636362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spans="1:23" x14ac:dyDescent="0.25">
      <c r="A90" s="17" t="s">
        <v>171</v>
      </c>
      <c r="B90" s="40">
        <f t="shared" ref="B90:L90" si="13">IF(B75&gt;B80,B80/B75,B75/B80)</f>
        <v>1</v>
      </c>
      <c r="C90" s="40">
        <f t="shared" si="13"/>
        <v>0.78082191780821919</v>
      </c>
      <c r="D90" s="40">
        <f t="shared" si="13"/>
        <v>1</v>
      </c>
      <c r="E90" s="40">
        <f t="shared" si="13"/>
        <v>0.78082191780821919</v>
      </c>
      <c r="F90" s="40">
        <f t="shared" si="13"/>
        <v>0.91139240506329122</v>
      </c>
      <c r="G90" s="40">
        <f t="shared" si="13"/>
        <v>0.94117647058823539</v>
      </c>
      <c r="H90" s="40">
        <f t="shared" si="13"/>
        <v>0.92307692307692302</v>
      </c>
      <c r="I90" s="40">
        <f t="shared" si="13"/>
        <v>1</v>
      </c>
      <c r="J90" s="40">
        <f t="shared" si="13"/>
        <v>0.76288659793814428</v>
      </c>
      <c r="K90" s="40">
        <f t="shared" si="13"/>
        <v>0.71568627450980393</v>
      </c>
      <c r="L90" s="40">
        <f t="shared" si="13"/>
        <v>0.81578947368421051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spans="1:23" x14ac:dyDescent="0.25">
      <c r="A91" s="17" t="s">
        <v>172</v>
      </c>
      <c r="B91" s="40"/>
      <c r="C91" s="40">
        <f t="shared" ref="C91:D91" si="14">C75/C85</f>
        <v>0.30810810810810813</v>
      </c>
      <c r="D91" s="40">
        <f t="shared" si="14"/>
        <v>0.91603053435114501</v>
      </c>
      <c r="E91" s="40"/>
      <c r="F91" s="40">
        <f t="shared" ref="F91:L91" si="15">F75/F85</f>
        <v>0.41142857142857148</v>
      </c>
      <c r="G91" s="40">
        <f t="shared" si="15"/>
        <v>0.68085106382978722</v>
      </c>
      <c r="H91" s="40">
        <f t="shared" si="15"/>
        <v>0.47101449275362317</v>
      </c>
      <c r="I91" s="40">
        <f t="shared" si="15"/>
        <v>0.81081081081081074</v>
      </c>
      <c r="J91" s="40">
        <f t="shared" si="15"/>
        <v>0.56060606060606066</v>
      </c>
      <c r="K91" s="40">
        <f t="shared" si="15"/>
        <v>3.6500000000000004</v>
      </c>
      <c r="L91" s="40">
        <f t="shared" si="15"/>
        <v>0.5636363636363636</v>
      </c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spans="1:23" x14ac:dyDescent="0.25">
      <c r="A92" s="17" t="s">
        <v>173</v>
      </c>
      <c r="B92" s="40"/>
      <c r="C92" s="40">
        <f t="shared" ref="C92:D92" si="16">C80/C85</f>
        <v>0.39459459459459462</v>
      </c>
      <c r="D92" s="40">
        <f t="shared" si="16"/>
        <v>0.91603053435114501</v>
      </c>
      <c r="E92" s="40"/>
      <c r="F92" s="40">
        <f t="shared" ref="F92:L92" si="17">F80/F85</f>
        <v>0.45142857142857146</v>
      </c>
      <c r="G92" s="40">
        <f t="shared" si="17"/>
        <v>0.72340425531914887</v>
      </c>
      <c r="H92" s="40">
        <f t="shared" si="17"/>
        <v>0.43478260869565211</v>
      </c>
      <c r="I92" s="40">
        <f t="shared" si="17"/>
        <v>0.81081081081081074</v>
      </c>
      <c r="J92" s="40">
        <f t="shared" si="17"/>
        <v>0.73484848484848486</v>
      </c>
      <c r="K92" s="40">
        <f t="shared" si="17"/>
        <v>5.1000000000000005</v>
      </c>
      <c r="L92" s="40">
        <f t="shared" si="17"/>
        <v>0.69090909090909081</v>
      </c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spans="1:23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spans="1:23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spans="1:23" x14ac:dyDescent="0.25">
      <c r="A95" s="15" t="s">
        <v>155</v>
      </c>
      <c r="B95" s="44" t="s">
        <v>256</v>
      </c>
      <c r="C95" s="44" t="s">
        <v>257</v>
      </c>
      <c r="D95" s="44" t="s">
        <v>98</v>
      </c>
      <c r="E95" s="16" t="s">
        <v>32</v>
      </c>
      <c r="F95" s="16" t="s">
        <v>33</v>
      </c>
      <c r="G95" s="16" t="s">
        <v>34</v>
      </c>
      <c r="H95" s="16" t="s">
        <v>35</v>
      </c>
      <c r="I95" s="16" t="s">
        <v>36</v>
      </c>
      <c r="J95" s="16" t="s">
        <v>37</v>
      </c>
      <c r="K95" s="16" t="s">
        <v>38</v>
      </c>
      <c r="L95" s="16" t="s">
        <v>39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spans="1:23" x14ac:dyDescent="0.25">
      <c r="A96" s="14" t="s">
        <v>175</v>
      </c>
      <c r="B96" s="20">
        <v>10.25</v>
      </c>
      <c r="C96" s="20">
        <v>8.75</v>
      </c>
      <c r="D96" s="20">
        <v>8.75</v>
      </c>
      <c r="E96" s="20">
        <v>7</v>
      </c>
      <c r="F96" s="20">
        <v>6</v>
      </c>
      <c r="G96" s="20">
        <v>7.25</v>
      </c>
      <c r="H96" s="20">
        <v>3.5</v>
      </c>
      <c r="I96" s="20">
        <v>1</v>
      </c>
      <c r="J96" s="20">
        <v>9</v>
      </c>
      <c r="K96" s="20">
        <v>6.5</v>
      </c>
      <c r="L96" s="20">
        <v>7.25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spans="1:23" x14ac:dyDescent="0.2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spans="1:23" x14ac:dyDescent="0.25">
      <c r="A98" s="14" t="s">
        <v>177</v>
      </c>
      <c r="B98" s="20">
        <v>10</v>
      </c>
      <c r="C98" s="20">
        <v>10</v>
      </c>
      <c r="D98" s="20">
        <v>8</v>
      </c>
      <c r="E98" s="26" t="s">
        <v>179</v>
      </c>
      <c r="F98" s="20">
        <v>0</v>
      </c>
      <c r="G98" s="20">
        <v>8</v>
      </c>
      <c r="H98" s="20">
        <v>3</v>
      </c>
      <c r="I98" s="20">
        <v>4</v>
      </c>
      <c r="J98" s="20">
        <v>5</v>
      </c>
      <c r="K98" s="20">
        <v>14</v>
      </c>
      <c r="L98" s="20">
        <v>15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spans="1:23" x14ac:dyDescent="0.25"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spans="1:23" x14ac:dyDescent="0.25">
      <c r="A100" s="14" t="s">
        <v>178</v>
      </c>
      <c r="B100" s="20">
        <v>2.46</v>
      </c>
      <c r="C100" s="20">
        <v>2.58</v>
      </c>
      <c r="D100" s="20">
        <v>2.38</v>
      </c>
      <c r="E100" s="26" t="s">
        <v>179</v>
      </c>
      <c r="F100" s="20">
        <v>2.72</v>
      </c>
      <c r="G100" s="20">
        <v>2.35</v>
      </c>
      <c r="H100" s="20">
        <v>2.6</v>
      </c>
      <c r="I100" s="20">
        <v>2.35</v>
      </c>
      <c r="J100" s="20">
        <v>2.92</v>
      </c>
      <c r="K100" s="70" t="s">
        <v>179</v>
      </c>
      <c r="L100" s="71" t="s">
        <v>176</v>
      </c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spans="1:23" x14ac:dyDescent="0.25">
      <c r="A101" s="13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spans="1:23" x14ac:dyDescent="0.25">
      <c r="A102" s="41" t="s">
        <v>249</v>
      </c>
      <c r="B102" s="20">
        <v>9.34</v>
      </c>
      <c r="C102" s="20">
        <v>15.35</v>
      </c>
      <c r="D102" s="20"/>
      <c r="E102" s="20"/>
      <c r="F102" s="20"/>
      <c r="G102" s="20">
        <v>9.8699999999999992</v>
      </c>
      <c r="H102" s="20"/>
      <c r="I102" s="20">
        <v>11.5</v>
      </c>
      <c r="J102" s="20">
        <v>16.62</v>
      </c>
      <c r="K102" s="20"/>
      <c r="L102" s="20">
        <v>12.02</v>
      </c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spans="1:23" x14ac:dyDescent="0.25">
      <c r="A103" s="13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spans="1:23" x14ac:dyDescent="0.25">
      <c r="A104" s="41" t="s">
        <v>206</v>
      </c>
      <c r="B104" s="20">
        <v>25.25</v>
      </c>
      <c r="C104" s="20">
        <v>22</v>
      </c>
      <c r="D104" s="20">
        <v>25</v>
      </c>
      <c r="E104" s="20"/>
      <c r="F104" s="20">
        <v>23.25</v>
      </c>
      <c r="G104" s="20">
        <v>26.25</v>
      </c>
      <c r="H104" s="20">
        <v>21.5</v>
      </c>
      <c r="I104" s="20"/>
      <c r="J104" s="20">
        <v>19.25</v>
      </c>
      <c r="K104" s="20" t="s">
        <v>255</v>
      </c>
      <c r="L104" s="20">
        <v>25</v>
      </c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spans="1:2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spans="1:2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spans="1:2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spans="1:23" x14ac:dyDescent="0.25">
      <c r="A108" s="13" t="s">
        <v>182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spans="1:23" x14ac:dyDescent="0.25">
      <c r="A109" s="13" t="s">
        <v>183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spans="1:23" x14ac:dyDescent="0.25">
      <c r="A110" s="42" t="s">
        <v>184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spans="1:2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spans="1:2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spans="1:2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spans="1:2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spans="1:2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spans="1:2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spans="1:2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spans="1:2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spans="1:2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spans="1:2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spans="1:2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spans="1:2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spans="1:2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spans="1:2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spans="1:2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spans="1:2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spans="1:2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spans="1:2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spans="1:2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spans="1:2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spans="1:2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spans="1:2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spans="1:2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spans="1:2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spans="1:2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spans="1:2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spans="1:2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spans="1:2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spans="1:2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spans="1:2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spans="1:2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spans="1:2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spans="1:2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spans="1:2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spans="1:2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spans="1:2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spans="1:2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spans="1:2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spans="1:2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spans="1:2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spans="1:2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spans="1:2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spans="1:2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spans="1:2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spans="1:2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spans="1:2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spans="1:2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spans="1:2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spans="1:2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spans="1:2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spans="1:2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spans="1:2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spans="1:2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spans="1:2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spans="1:2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spans="1:2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spans="1:2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spans="1:2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spans="1:2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spans="1:2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spans="1:2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spans="1:2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spans="1:2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spans="1:2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spans="1:2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spans="1:2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spans="1:2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spans="1:2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spans="1:2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spans="1:2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spans="1:2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spans="1:2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spans="1:2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spans="1:2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spans="1:2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spans="1:2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spans="1:2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spans="1:2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spans="1:2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spans="1:2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spans="1:2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spans="1:2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spans="1:2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spans="1:2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spans="1:2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spans="1:2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spans="1:2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spans="1:2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spans="1:2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spans="1:2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spans="1:2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spans="1:2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spans="1:2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spans="1:2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spans="1:2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spans="1:2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spans="1:2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spans="1:2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spans="1:2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spans="1:2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spans="1:2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spans="1:2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spans="1:2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spans="1:2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spans="1:2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spans="1:2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spans="1:2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spans="1:2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spans="1:2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spans="1:2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spans="1:2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 spans="1:2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 spans="1:2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 spans="1:2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 spans="1:2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 spans="1:2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 spans="1:2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 spans="1:2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 spans="1:2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 spans="1:2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 spans="1:2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 spans="1:2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 spans="1:2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spans="1:2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 spans="1:2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 spans="1:2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 spans="1:2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 spans="1:2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 spans="1:23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 spans="1:23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 spans="1:23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 spans="1:23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 spans="1:23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 spans="1:23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 spans="1:23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 spans="1:23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 spans="1:23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 spans="1:23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 spans="1:23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 spans="1:23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 spans="1:23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 spans="1:23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 spans="1:23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 spans="1:23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 spans="1:23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 spans="1:23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 spans="1:23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 spans="1:23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 spans="1:23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 spans="1:23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 spans="1:23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 spans="1:23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 spans="1:23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 spans="1:23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 spans="1:23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 spans="1:23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 spans="1:23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 spans="1:23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 spans="1:23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 spans="1:23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 spans="1:23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 spans="1:23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 spans="1:23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 spans="1:23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 spans="1:23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 spans="1:23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 spans="1:23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 spans="1:23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 spans="1:23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 spans="1:23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 spans="1:23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 spans="1:23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 spans="1:23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 spans="1:23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 spans="1:23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 spans="1:23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 spans="1:23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 spans="1:23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 spans="1:23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 spans="1:23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 spans="1:23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 spans="1:23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 spans="1:23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 spans="1:23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 spans="1:23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 spans="1:23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 spans="1:23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 spans="1:23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 spans="1:23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 spans="1:23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 spans="1:23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 spans="1:23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 spans="1:23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 spans="1:23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 spans="1:23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 spans="1:23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 spans="1:23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 spans="1:23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 spans="1:23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 spans="1:23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 spans="1:23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 spans="1:23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 spans="1:23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 spans="1:23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 spans="1:23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 spans="1:23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 spans="1:23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 spans="1:23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 spans="1:23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 spans="1:23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 spans="1:23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 spans="1:23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 spans="1:23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 spans="1:23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 spans="1:23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 spans="1:23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 spans="1:23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 spans="1:23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 spans="1:23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 spans="1:23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 spans="1:23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 spans="1:23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 spans="1:23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 spans="1:23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 spans="1:23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 spans="1:23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 spans="1:23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 spans="1:23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 spans="1:23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 spans="1:23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 spans="1:23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 spans="1:23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 spans="1:23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 spans="1:23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 spans="1:23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 spans="1:23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 spans="1:23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 spans="1:23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 spans="1:23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 spans="1:23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 spans="1:23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 spans="1:23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 spans="1:23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 spans="1:23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 spans="1:23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 spans="1:23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 spans="1:23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 spans="1:23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 spans="1:23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 spans="1:23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 spans="1:23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 spans="1:23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 spans="1:23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 spans="1:23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 spans="1:23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 spans="1:23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 spans="1:23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 spans="1:23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 spans="1:23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 spans="1:23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 spans="1:23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 spans="1:23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 spans="1:23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 spans="1:23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 spans="1:23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 spans="1:23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 spans="1:23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 spans="1:23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 spans="1:23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 spans="1:23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 spans="1:23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 spans="1:23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 spans="1:23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 spans="1:23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 spans="1:23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 spans="1:23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 spans="1:23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 spans="1:23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 spans="1:23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 spans="1:23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 spans="1:23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 spans="1:23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 spans="1:23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 spans="1:23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 spans="1:23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 spans="1:23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 spans="1:23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 spans="1:23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 spans="1:23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 spans="1:23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 spans="1:23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 spans="1:23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 spans="1:23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 spans="1:23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 spans="1:23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 spans="1:23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 spans="1:23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 spans="1:23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 spans="1:23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 spans="1:23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 spans="1:23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 spans="1:23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 spans="1:23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 spans="1:23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 spans="1:23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 spans="1:23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 spans="1:23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 spans="1:23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 spans="1:23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 spans="1:23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 spans="1:23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 spans="1:23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 spans="1:23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 spans="1:23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 spans="1:23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 spans="1:23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 spans="1:23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 spans="1:23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 spans="1:23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 spans="1:23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 spans="1:23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 spans="1:23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 spans="1:23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 spans="1:23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 spans="1:23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 spans="1:23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 spans="1:23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 spans="1:23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 spans="1:23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 spans="1:23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 spans="1:23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 spans="1:23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 spans="1:23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 spans="1:23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 spans="1:23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 spans="1:23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 spans="1:23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 spans="1:23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 spans="1:23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 spans="1:23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 spans="1:23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 spans="1:23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 spans="1:23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 spans="1:23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 spans="1:23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 spans="1:23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 spans="1:23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 spans="1:23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 spans="1:23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 spans="1:23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 spans="1:23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 spans="1:23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 spans="1:23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 spans="1:23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 spans="1:23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 spans="1:23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 spans="1:23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 spans="1:23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 spans="1:23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 spans="1:23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 spans="1:23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 spans="1:23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 spans="1:23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 spans="1:23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 spans="1:23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 spans="1:23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 spans="1:23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 spans="1:23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 spans="1:23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 spans="1:23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 spans="1:23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 spans="1:23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 spans="1:23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 spans="1:23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 spans="1:23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 spans="1:23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 spans="1:23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 spans="1:23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 spans="1:23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 spans="1:23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 spans="1:23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 spans="1:23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 spans="1:23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 spans="1:23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 spans="1:23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 spans="1:23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 spans="1:23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 spans="1:23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 spans="1:23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 spans="1:23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 spans="1:23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 spans="1:23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 spans="1:23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 spans="1:23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 spans="1:23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 spans="1:23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 spans="1:23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 spans="1:23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 spans="1:23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 spans="1:23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 spans="1:23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 spans="1:23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 spans="1:23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 spans="1:23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 spans="1:23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 spans="1:23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 spans="1:23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 spans="1:23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 spans="1:23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 spans="1:23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 spans="1:23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 spans="1:23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 spans="1:23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 spans="1:23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 spans="1:23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 spans="1:23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 spans="1:23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 spans="1:23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 spans="1:23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 spans="1:23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 spans="1:23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 spans="1:23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 spans="1:23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 spans="1:23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 spans="1:23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 spans="1:23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 spans="1:23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 spans="1:23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 spans="1:23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 spans="1:23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 spans="1:23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 spans="1:23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 spans="1:23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 spans="1:23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 spans="1:23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 spans="1:23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 spans="1:23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 spans="1:23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 spans="1:23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 spans="1:23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 spans="1:23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 spans="1:23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 spans="1:23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 spans="1:23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 spans="1:23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 spans="1:23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 spans="1:23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 spans="1:23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 spans="1:23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 spans="1:23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 spans="1:23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 spans="1:23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 spans="1:23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 spans="1:23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 spans="1:23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 spans="1:23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 spans="1:23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 spans="1:23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 spans="1:23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 spans="1:23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 spans="1:23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 spans="1:23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 spans="1:23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 spans="1:23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 spans="1:23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 spans="1:23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 spans="1:23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 spans="1:23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 spans="1:23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 spans="1:23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 spans="1:23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 spans="1:23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 spans="1:23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 spans="1:23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 spans="1:23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 spans="1:23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 spans="1:23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 spans="1:23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 spans="1:23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 spans="1:23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 spans="1:23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 spans="1:23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 spans="1:23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 spans="1:23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 spans="1:23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 spans="1:23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 spans="1:23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 spans="1:23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 spans="1:23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 spans="1:23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 spans="1:23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 spans="1:23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 spans="1:23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 spans="1:23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 spans="1:23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 spans="1:23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 spans="1:23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 spans="1:23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 spans="1:23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 spans="1:23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 spans="1:23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 spans="1:23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 spans="1:23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 spans="1:23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 spans="1:23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 spans="1:23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 spans="1:23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 spans="1:23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 spans="1:23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 spans="1:23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 spans="1:23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 spans="1:23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 spans="1:23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 spans="1:23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 spans="1:23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 spans="1:23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 spans="1:23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 spans="1:23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 spans="1:23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 spans="1:23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 spans="1:23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 spans="1:23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 spans="1:23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 spans="1:23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 spans="1:23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 spans="1:23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 spans="1:23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 spans="1:23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 spans="1:23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 spans="1:23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 spans="1:23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 spans="1:23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 spans="1:23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 spans="1:23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 spans="1:23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 spans="1:23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 spans="1:23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 spans="1:23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 spans="1:23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 spans="1:23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 spans="1:23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 spans="1:23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 spans="1:23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 spans="1:23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 spans="1:23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 spans="1:23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 spans="1:23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 spans="1:23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 spans="1:23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 spans="1:23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 spans="1:23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 spans="1:23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 spans="1:23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 spans="1:23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 spans="1:23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</row>
    <row r="666" spans="1:23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</row>
    <row r="667" spans="1:23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</row>
    <row r="668" spans="1:23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</row>
    <row r="669" spans="1:23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</row>
    <row r="670" spans="1:23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 spans="1:23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</row>
    <row r="672" spans="1:23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</row>
    <row r="673" spans="1:23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</row>
    <row r="674" spans="1:23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</row>
    <row r="675" spans="1:23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</row>
    <row r="676" spans="1:23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</row>
    <row r="677" spans="1:23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</row>
    <row r="678" spans="1:23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</row>
    <row r="679" spans="1:23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</row>
    <row r="680" spans="1:23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</row>
    <row r="681" spans="1:23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</row>
    <row r="682" spans="1:23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</row>
    <row r="683" spans="1:23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</row>
    <row r="684" spans="1:23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</row>
    <row r="685" spans="1:23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</row>
    <row r="686" spans="1:23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</row>
    <row r="687" spans="1:23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</row>
    <row r="688" spans="1:23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</row>
    <row r="689" spans="1:23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</row>
    <row r="690" spans="1:23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</row>
    <row r="691" spans="1:23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</row>
    <row r="692" spans="1:23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</row>
    <row r="693" spans="1:23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</row>
    <row r="694" spans="1:23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</row>
    <row r="695" spans="1:23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</row>
    <row r="696" spans="1:23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</row>
    <row r="697" spans="1:23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</row>
    <row r="698" spans="1:23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</row>
    <row r="699" spans="1:23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</row>
    <row r="700" spans="1:23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</row>
    <row r="701" spans="1:23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</row>
    <row r="702" spans="1:23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</row>
    <row r="703" spans="1:23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</row>
    <row r="704" spans="1:23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</row>
    <row r="705" spans="1:23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</row>
    <row r="706" spans="1:23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</row>
    <row r="707" spans="1:23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</row>
    <row r="708" spans="1:23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</row>
    <row r="709" spans="1:23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</row>
    <row r="710" spans="1:23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</row>
    <row r="711" spans="1:23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</row>
    <row r="712" spans="1:23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</row>
    <row r="713" spans="1:23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</row>
    <row r="714" spans="1:23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</row>
    <row r="715" spans="1:23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</row>
    <row r="716" spans="1:23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</row>
    <row r="717" spans="1:23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</row>
    <row r="718" spans="1:23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</row>
    <row r="719" spans="1:23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</row>
    <row r="720" spans="1:23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</row>
    <row r="721" spans="1:23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</row>
    <row r="722" spans="1:23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</row>
    <row r="723" spans="1:23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</row>
    <row r="724" spans="1:23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</row>
    <row r="725" spans="1:23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</row>
    <row r="726" spans="1:23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</row>
    <row r="727" spans="1:23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</row>
    <row r="728" spans="1:23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</row>
    <row r="729" spans="1:23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</row>
    <row r="730" spans="1:23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</row>
    <row r="731" spans="1:23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</row>
    <row r="732" spans="1:23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</row>
    <row r="733" spans="1:23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</row>
    <row r="734" spans="1:23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</row>
    <row r="735" spans="1:23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</row>
    <row r="736" spans="1:23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</row>
    <row r="737" spans="1:23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</row>
    <row r="738" spans="1:23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</row>
    <row r="739" spans="1:23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</row>
    <row r="740" spans="1:23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</row>
    <row r="741" spans="1:23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</row>
    <row r="742" spans="1:23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</row>
    <row r="743" spans="1:23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</row>
    <row r="744" spans="1:23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</row>
    <row r="745" spans="1:23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</row>
    <row r="746" spans="1:23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</row>
    <row r="747" spans="1:23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</row>
    <row r="748" spans="1:23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</row>
    <row r="749" spans="1:23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</row>
    <row r="750" spans="1:23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</row>
    <row r="751" spans="1:23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</row>
    <row r="752" spans="1:23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</row>
    <row r="753" spans="1:23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 spans="1:23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</row>
    <row r="755" spans="1:23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</row>
    <row r="756" spans="1:23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</row>
    <row r="757" spans="1:23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</row>
    <row r="758" spans="1:23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</row>
    <row r="759" spans="1:23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</row>
    <row r="760" spans="1:23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</row>
    <row r="761" spans="1:23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</row>
    <row r="762" spans="1:23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</row>
    <row r="763" spans="1:23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</row>
    <row r="764" spans="1:23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</row>
    <row r="765" spans="1:23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</row>
    <row r="766" spans="1:23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</row>
    <row r="767" spans="1:23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</row>
    <row r="768" spans="1:23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</row>
    <row r="769" spans="1:23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</row>
    <row r="770" spans="1:23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</row>
    <row r="771" spans="1:23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</row>
    <row r="772" spans="1:23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</row>
    <row r="773" spans="1:23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</row>
    <row r="774" spans="1:23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</row>
    <row r="775" spans="1:23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</row>
    <row r="776" spans="1:23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</row>
    <row r="777" spans="1:23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</row>
    <row r="778" spans="1:23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</row>
    <row r="779" spans="1:23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</row>
    <row r="780" spans="1:23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</row>
    <row r="781" spans="1:23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</row>
    <row r="782" spans="1:23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</row>
    <row r="783" spans="1:23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 spans="1:23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</row>
    <row r="785" spans="1:23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</row>
    <row r="786" spans="1:23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</row>
    <row r="787" spans="1:23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</row>
    <row r="788" spans="1:23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</row>
    <row r="789" spans="1:23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</row>
    <row r="790" spans="1:23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</row>
    <row r="791" spans="1:23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</row>
    <row r="792" spans="1:23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</row>
    <row r="793" spans="1:23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</row>
    <row r="794" spans="1:23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</row>
    <row r="795" spans="1:23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 spans="1:23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 spans="1:23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</row>
    <row r="798" spans="1:23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</row>
    <row r="799" spans="1:23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</row>
    <row r="800" spans="1:23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 spans="1:23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 spans="1:23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 spans="1:23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 spans="1:23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 spans="1:23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 spans="1:23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 spans="1:23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 spans="1:23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</row>
    <row r="809" spans="1:23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</row>
    <row r="810" spans="1:23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</row>
    <row r="811" spans="1:23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</row>
    <row r="812" spans="1:23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</row>
    <row r="813" spans="1:23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</row>
    <row r="814" spans="1:23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</row>
    <row r="815" spans="1:23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</row>
    <row r="816" spans="1:23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</row>
    <row r="817" spans="1:23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</row>
    <row r="818" spans="1:23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</row>
    <row r="819" spans="1:23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</row>
    <row r="820" spans="1:23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</row>
    <row r="821" spans="1:23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</row>
    <row r="822" spans="1:23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</row>
    <row r="823" spans="1:23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</row>
    <row r="824" spans="1:23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</row>
    <row r="825" spans="1:23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</row>
    <row r="826" spans="1:23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</row>
    <row r="827" spans="1:23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</row>
    <row r="828" spans="1:23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</row>
    <row r="829" spans="1:23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</row>
    <row r="830" spans="1:23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</row>
    <row r="831" spans="1:23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</row>
    <row r="832" spans="1:23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</row>
    <row r="833" spans="1:23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</row>
    <row r="834" spans="1:23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</row>
    <row r="835" spans="1:23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</row>
    <row r="836" spans="1:23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</row>
    <row r="837" spans="1:23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</row>
    <row r="838" spans="1:23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</row>
    <row r="839" spans="1:23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</row>
    <row r="840" spans="1:23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</row>
    <row r="841" spans="1:23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</row>
    <row r="842" spans="1:23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</row>
    <row r="843" spans="1:23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</row>
    <row r="844" spans="1:23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</row>
    <row r="845" spans="1:23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</row>
    <row r="846" spans="1:23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</row>
    <row r="847" spans="1:23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</row>
    <row r="848" spans="1:23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</row>
    <row r="849" spans="1:23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</row>
    <row r="850" spans="1:23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</row>
    <row r="851" spans="1:23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</row>
    <row r="852" spans="1:23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</row>
    <row r="853" spans="1:23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</row>
    <row r="854" spans="1:23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</row>
    <row r="855" spans="1:23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</row>
    <row r="856" spans="1:23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</row>
    <row r="857" spans="1:23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</row>
    <row r="858" spans="1:23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</row>
    <row r="859" spans="1:23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</row>
    <row r="860" spans="1:23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</row>
    <row r="861" spans="1:23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</row>
    <row r="862" spans="1:23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</row>
    <row r="863" spans="1:23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</row>
    <row r="864" spans="1:23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</row>
    <row r="865" spans="1:23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</row>
    <row r="866" spans="1:23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</row>
    <row r="867" spans="1:23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</row>
    <row r="868" spans="1:23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</row>
    <row r="869" spans="1:23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</row>
    <row r="870" spans="1:23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</row>
    <row r="871" spans="1:23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 spans="1:23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</row>
    <row r="873" spans="1:23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</row>
    <row r="874" spans="1:23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</row>
    <row r="875" spans="1:23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</row>
    <row r="876" spans="1:23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</row>
    <row r="877" spans="1:23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</row>
    <row r="878" spans="1:23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</row>
    <row r="879" spans="1:23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</row>
    <row r="880" spans="1:23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</row>
    <row r="881" spans="1:23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</row>
    <row r="882" spans="1:23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</row>
    <row r="883" spans="1:23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</row>
    <row r="884" spans="1:23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</row>
    <row r="885" spans="1:23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</row>
    <row r="886" spans="1:23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</row>
    <row r="887" spans="1:23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</row>
    <row r="888" spans="1:23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</row>
    <row r="889" spans="1:23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</row>
    <row r="890" spans="1:23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</row>
    <row r="891" spans="1:23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</row>
    <row r="892" spans="1:23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</row>
    <row r="893" spans="1:23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</row>
    <row r="894" spans="1:23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</row>
    <row r="895" spans="1:23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</row>
    <row r="896" spans="1:23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</row>
    <row r="897" spans="1:23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</row>
    <row r="898" spans="1:23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</row>
    <row r="899" spans="1:23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</row>
    <row r="900" spans="1:23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</row>
    <row r="901" spans="1:23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</row>
    <row r="902" spans="1:23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</row>
    <row r="903" spans="1:23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</row>
    <row r="904" spans="1:23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</row>
    <row r="905" spans="1:23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</row>
    <row r="906" spans="1:23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</row>
    <row r="907" spans="1:23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</row>
    <row r="908" spans="1:23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</row>
    <row r="909" spans="1:23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</row>
    <row r="910" spans="1:23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</row>
    <row r="911" spans="1:23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</row>
    <row r="912" spans="1:23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</row>
    <row r="913" spans="1:23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</row>
    <row r="914" spans="1:23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</row>
    <row r="915" spans="1:23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</row>
    <row r="916" spans="1:23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</row>
    <row r="917" spans="1:23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</row>
    <row r="918" spans="1:23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</row>
    <row r="919" spans="1:23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</row>
    <row r="920" spans="1:23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</row>
    <row r="921" spans="1:23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</row>
    <row r="922" spans="1:23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</row>
    <row r="923" spans="1:23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</row>
    <row r="924" spans="1:23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</row>
    <row r="925" spans="1:23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</row>
    <row r="926" spans="1:23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</row>
    <row r="927" spans="1:23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</row>
    <row r="928" spans="1:23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</row>
    <row r="929" spans="1:23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</row>
    <row r="930" spans="1:23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</row>
    <row r="931" spans="1:23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</row>
    <row r="932" spans="1:23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</row>
    <row r="933" spans="1:23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</row>
    <row r="934" spans="1:23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</row>
    <row r="935" spans="1:23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</row>
    <row r="936" spans="1:23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</row>
    <row r="937" spans="1:23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</row>
    <row r="938" spans="1:23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</row>
    <row r="939" spans="1:23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</row>
    <row r="940" spans="1:23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</row>
    <row r="941" spans="1:23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</row>
    <row r="942" spans="1:23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</row>
    <row r="943" spans="1:23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</row>
    <row r="944" spans="1:23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</row>
    <row r="945" spans="1:23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</row>
    <row r="946" spans="1:23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</row>
    <row r="947" spans="1:23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</row>
    <row r="948" spans="1:23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</row>
    <row r="949" spans="1:23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</row>
    <row r="950" spans="1:23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</row>
    <row r="951" spans="1:23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</row>
    <row r="952" spans="1:23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</row>
    <row r="953" spans="1:23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</row>
    <row r="954" spans="1:23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</row>
    <row r="955" spans="1:23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</row>
    <row r="956" spans="1:23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</row>
    <row r="957" spans="1:23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</row>
    <row r="958" spans="1:23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</row>
    <row r="959" spans="1:23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</row>
    <row r="960" spans="1:23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</row>
    <row r="961" spans="1:23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</row>
    <row r="962" spans="1:23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</row>
    <row r="963" spans="1:23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</row>
    <row r="964" spans="1:23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</row>
    <row r="965" spans="1:23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</row>
    <row r="966" spans="1:23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</row>
    <row r="967" spans="1:23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</row>
    <row r="968" spans="1:23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</row>
    <row r="969" spans="1:23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</row>
    <row r="970" spans="1:23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</row>
    <row r="971" spans="1:23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</row>
    <row r="972" spans="1:23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</row>
    <row r="973" spans="1:23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</row>
    <row r="974" spans="1:23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</row>
    <row r="975" spans="1:23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</row>
    <row r="976" spans="1:23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</row>
    <row r="977" spans="1:23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</row>
    <row r="978" spans="1:23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</row>
    <row r="979" spans="1:23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</row>
    <row r="980" spans="1:23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</row>
    <row r="981" spans="1:23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</row>
    <row r="982" spans="1:23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</row>
    <row r="983" spans="1:23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</row>
    <row r="984" spans="1:23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</row>
    <row r="985" spans="1:23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</row>
    <row r="986" spans="1:23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</row>
    <row r="987" spans="1:23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</row>
    <row r="988" spans="1:23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</row>
    <row r="989" spans="1:23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</row>
    <row r="990" spans="1:23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</row>
    <row r="991" spans="1:23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</row>
    <row r="992" spans="1:23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</row>
    <row r="993" spans="1:23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</row>
    <row r="994" spans="1:23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</row>
    <row r="995" spans="1:23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</row>
    <row r="996" spans="1:23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</row>
    <row r="997" spans="1:23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</row>
    <row r="998" spans="1:23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</row>
    <row r="999" spans="1:23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</row>
    <row r="1000" spans="1:23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</row>
    <row r="1001" spans="1:23" x14ac:dyDescent="0.2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</row>
    <row r="1002" spans="1:23" x14ac:dyDescent="0.25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</row>
    <row r="1003" spans="1:23" x14ac:dyDescent="0.25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</row>
    <row r="1004" spans="1:23" x14ac:dyDescent="0.25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</row>
    <row r="1005" spans="1:23" x14ac:dyDescent="0.2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</row>
    <row r="1006" spans="1:23" x14ac:dyDescent="0.25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</row>
    <row r="1007" spans="1:23" x14ac:dyDescent="0.25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</row>
    <row r="1008" spans="1:23" x14ac:dyDescent="0.25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</row>
    <row r="1009" spans="1:23" x14ac:dyDescent="0.25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</row>
    <row r="1010" spans="1:23" x14ac:dyDescent="0.25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</row>
    <row r="1011" spans="1:23" x14ac:dyDescent="0.25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</row>
    <row r="1012" spans="1:23" x14ac:dyDescent="0.25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</row>
  </sheetData>
  <conditionalFormatting sqref="A108">
    <cfRule type="notContainsBlanks" dxfId="43" priority="3">
      <formula>LEN(TRIM(A108))&gt;0</formula>
    </cfRule>
  </conditionalFormatting>
  <conditionalFormatting sqref="A109">
    <cfRule type="notContainsBlanks" dxfId="42" priority="2">
      <formula>LEN(TRIM(A109))&gt;0</formula>
    </cfRule>
  </conditionalFormatting>
  <conditionalFormatting sqref="A110">
    <cfRule type="notContainsBlanks" dxfId="41" priority="1">
      <formula>LEN(TRIM(A110))&gt;0</formula>
    </cfRule>
  </conditionalFormatting>
  <conditionalFormatting sqref="B60">
    <cfRule type="cellIs" dxfId="40" priority="15" operator="greaterThanOrEqual">
      <formula>213.5</formula>
    </cfRule>
    <cfRule type="cellIs" dxfId="39" priority="16" operator="lessThan">
      <formula>213.5</formula>
    </cfRule>
  </conditionalFormatting>
  <conditionalFormatting sqref="B75">
    <cfRule type="cellIs" dxfId="38" priority="40" operator="equal">
      <formula>"2:00"</formula>
    </cfRule>
  </conditionalFormatting>
  <conditionalFormatting sqref="B80">
    <cfRule type="cellIs" dxfId="37" priority="41" operator="equal">
      <formula>"2:00"</formula>
    </cfRule>
  </conditionalFormatting>
  <conditionalFormatting sqref="B70:D70">
    <cfRule type="cellIs" dxfId="36" priority="39" operator="equal">
      <formula>"3:00"</formula>
    </cfRule>
  </conditionalFormatting>
  <conditionalFormatting sqref="B104:D104">
    <cfRule type="notContainsBlanks" dxfId="35" priority="31">
      <formula>LEN(TRIM(B104))&gt;0</formula>
    </cfRule>
  </conditionalFormatting>
  <conditionalFormatting sqref="B7:L7 B11:L11 B16:L16 B20:L20 B34:C34 E34:L34 B39:L39 B61:L61">
    <cfRule type="cellIs" dxfId="34" priority="4" operator="greaterThan">
      <formula>0</formula>
    </cfRule>
  </conditionalFormatting>
  <conditionalFormatting sqref="B23:L24">
    <cfRule type="cellIs" dxfId="33" priority="49" operator="greaterThanOrEqual">
      <formula>6</formula>
    </cfRule>
  </conditionalFormatting>
  <conditionalFormatting sqref="B43:L43">
    <cfRule type="cellIs" dxfId="32" priority="13" operator="greaterThan">
      <formula>10</formula>
    </cfRule>
    <cfRule type="cellIs" dxfId="31" priority="14" operator="lessThanOrEqual">
      <formula>10</formula>
    </cfRule>
  </conditionalFormatting>
  <conditionalFormatting sqref="B44:L44">
    <cfRule type="cellIs" dxfId="30" priority="11" operator="lessThan">
      <formula>"90%"</formula>
    </cfRule>
    <cfRule type="cellIs" dxfId="29" priority="12" operator="greaterThanOrEqual">
      <formula>"90%"</formula>
    </cfRule>
  </conditionalFormatting>
  <conditionalFormatting sqref="B89:L89">
    <cfRule type="cellIs" dxfId="28" priority="9" operator="lessThan">
      <formula>0.8</formula>
    </cfRule>
    <cfRule type="cellIs" dxfId="27" priority="10" operator="greaterThanOrEqual">
      <formula>0.8</formula>
    </cfRule>
  </conditionalFormatting>
  <conditionalFormatting sqref="B90:L90">
    <cfRule type="cellIs" dxfId="26" priority="7" operator="greaterThanOrEqual">
      <formula>0.75</formula>
    </cfRule>
    <cfRule type="cellIs" dxfId="25" priority="8" operator="lessThan">
      <formula>0.75</formula>
    </cfRule>
  </conditionalFormatting>
  <conditionalFormatting sqref="B91:L92">
    <cfRule type="cellIs" dxfId="24" priority="5" operator="greaterThanOrEqual">
      <formula>0.5</formula>
    </cfRule>
    <cfRule type="cellIs" dxfId="23" priority="6" operator="lessThan">
      <formula>0.5</formula>
    </cfRule>
  </conditionalFormatting>
  <conditionalFormatting sqref="C85">
    <cfRule type="cellIs" dxfId="22" priority="44" operator="greaterThanOrEqual">
      <formula>"3:00"</formula>
    </cfRule>
  </conditionalFormatting>
  <conditionalFormatting sqref="D60">
    <cfRule type="cellIs" dxfId="21" priority="17" operator="greaterThanOrEqual">
      <formula>384.5</formula>
    </cfRule>
    <cfRule type="cellIs" dxfId="20" priority="18" operator="lessThan">
      <formula>384.5</formula>
    </cfRule>
  </conditionalFormatting>
  <conditionalFormatting sqref="D75">
    <cfRule type="cellIs" dxfId="19" priority="42" operator="equal">
      <formula>"2:00"</formula>
    </cfRule>
  </conditionalFormatting>
  <conditionalFormatting sqref="D80">
    <cfRule type="cellIs" dxfId="18" priority="43" operator="equal">
      <formula>"2:00"</formula>
    </cfRule>
  </conditionalFormatting>
  <conditionalFormatting sqref="F60">
    <cfRule type="cellIs" dxfId="17" priority="19" operator="greaterThanOrEqual">
      <formula>305</formula>
    </cfRule>
    <cfRule type="cellIs" dxfId="16" priority="20" operator="lessThan">
      <formula>305</formula>
    </cfRule>
  </conditionalFormatting>
  <conditionalFormatting sqref="F104:H104">
    <cfRule type="notContainsBlanks" dxfId="15" priority="34">
      <formula>LEN(TRIM(F104))&gt;0</formula>
    </cfRule>
  </conditionalFormatting>
  <conditionalFormatting sqref="G60">
    <cfRule type="cellIs" dxfId="14" priority="21" operator="greaterThanOrEqual">
      <formula>330</formula>
    </cfRule>
    <cfRule type="cellIs" dxfId="13" priority="22" operator="lessThan">
      <formula>330</formula>
    </cfRule>
  </conditionalFormatting>
  <conditionalFormatting sqref="H70:I70">
    <cfRule type="cellIs" dxfId="12" priority="45" operator="equal">
      <formula>"3:00"</formula>
    </cfRule>
  </conditionalFormatting>
  <conditionalFormatting sqref="I60">
    <cfRule type="cellIs" dxfId="11" priority="23" operator="greaterThanOrEqual">
      <formula>280</formula>
    </cfRule>
    <cfRule type="cellIs" dxfId="10" priority="24" operator="lessThan">
      <formula>280</formula>
    </cfRule>
  </conditionalFormatting>
  <conditionalFormatting sqref="I75">
    <cfRule type="cellIs" dxfId="9" priority="47" operator="equal">
      <formula>"2:00"</formula>
    </cfRule>
  </conditionalFormatting>
  <conditionalFormatting sqref="I80">
    <cfRule type="cellIs" dxfId="8" priority="48" operator="equal">
      <formula>"2:00"</formula>
    </cfRule>
  </conditionalFormatting>
  <conditionalFormatting sqref="J60">
    <cfRule type="cellIs" dxfId="7" priority="25" operator="greaterThanOrEqual">
      <formula>240</formula>
    </cfRule>
    <cfRule type="cellIs" dxfId="6" priority="26" operator="lessThan">
      <formula>240</formula>
    </cfRule>
  </conditionalFormatting>
  <conditionalFormatting sqref="J104">
    <cfRule type="notContainsBlanks" dxfId="5" priority="37">
      <formula>LEN(TRIM(J104))&gt;0</formula>
    </cfRule>
  </conditionalFormatting>
  <conditionalFormatting sqref="K60">
    <cfRule type="cellIs" dxfId="4" priority="27" operator="greaterThanOrEqual">
      <formula>290</formula>
    </cfRule>
    <cfRule type="cellIs" dxfId="3" priority="28" operator="lessThan">
      <formula>290</formula>
    </cfRule>
  </conditionalFormatting>
  <conditionalFormatting sqref="L60">
    <cfRule type="cellIs" dxfId="2" priority="29" operator="greaterThanOrEqual">
      <formula>467.5</formula>
    </cfRule>
    <cfRule type="cellIs" dxfId="1" priority="30" operator="lessThan">
      <formula>467.5</formula>
    </cfRule>
  </conditionalFormatting>
  <conditionalFormatting sqref="L104">
    <cfRule type="notContainsBlanks" dxfId="0" priority="38">
      <formula>LEN(TRIM(L104))&gt;0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 Sheet</vt:lpstr>
      <vt:lpstr>Senior TRA</vt:lpstr>
      <vt:lpstr>Senior DMT</vt:lpstr>
      <vt:lpstr>Senior TUM</vt:lpstr>
      <vt:lpstr>Junior TRA</vt:lpstr>
      <vt:lpstr>Junior DMT</vt:lpstr>
      <vt:lpstr>Junior TUM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Bretscher</dc:creator>
  <cp:lastModifiedBy>Paul Bretscher</cp:lastModifiedBy>
  <dcterms:created xsi:type="dcterms:W3CDTF">2026-03-14T16:28:02Z</dcterms:created>
  <dcterms:modified xsi:type="dcterms:W3CDTF">2026-03-16T16:26:28Z</dcterms:modified>
</cp:coreProperties>
</file>